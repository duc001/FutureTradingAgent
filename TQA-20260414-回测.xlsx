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40"/>
  </bookViews>
  <sheets>
    <sheet name="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<sst xmlns="http://schemas.openxmlformats.org/spreadsheetml/2006/main" count="94" uniqueCount="46">
  <si>
    <r>
      <rPr>
        <b/>
        <sz val="9"/>
        <color rgb="FF000000"/>
        <rFont val="微软雅黑"/>
        <charset val="134"/>
      </rPr>
      <t>商品</t>
    </r>
  </si>
  <si>
    <r>
      <rPr>
        <b/>
        <sz val="9"/>
        <color rgb="FF000000"/>
        <rFont val="微软雅黑"/>
        <charset val="134"/>
      </rPr>
      <t>策略</t>
    </r>
  </si>
  <si>
    <r>
      <rPr>
        <b/>
        <sz val="9"/>
        <color rgb="FF000000"/>
        <rFont val="Consolas"/>
        <charset val="134"/>
      </rPr>
      <t>K</t>
    </r>
    <r>
      <rPr>
        <b/>
        <sz val="9"/>
        <color rgb="FF000000"/>
        <rFont val="宋体"/>
        <charset val="134"/>
      </rPr>
      <t>线</t>
    </r>
  </si>
  <si>
    <r>
      <rPr>
        <b/>
        <sz val="9"/>
        <color rgb="FF000000"/>
        <rFont val="微软雅黑"/>
        <charset val="134"/>
      </rPr>
      <t>参数</t>
    </r>
  </si>
  <si>
    <r>
      <rPr>
        <b/>
        <sz val="9"/>
        <color rgb="FF000000"/>
        <rFont val="微软雅黑"/>
        <charset val="134"/>
      </rPr>
      <t>开始时间</t>
    </r>
  </si>
  <si>
    <r>
      <rPr>
        <b/>
        <sz val="9"/>
        <color rgb="FF000000"/>
        <rFont val="微软雅黑"/>
        <charset val="134"/>
      </rPr>
      <t>结束时间</t>
    </r>
  </si>
  <si>
    <r>
      <rPr>
        <b/>
        <sz val="9"/>
        <color rgb="FF000000"/>
        <rFont val="微软雅黑"/>
        <charset val="134"/>
      </rPr>
      <t>时长</t>
    </r>
  </si>
  <si>
    <r>
      <rPr>
        <b/>
        <sz val="9"/>
        <color rgb="FF000000"/>
        <rFont val="微软雅黑"/>
        <charset val="134"/>
      </rPr>
      <t>一手本金</t>
    </r>
  </si>
  <si>
    <r>
      <rPr>
        <b/>
        <sz val="9"/>
        <color rgb="FF000000"/>
        <rFont val="微软雅黑"/>
        <charset val="134"/>
      </rPr>
      <t>一手保证金</t>
    </r>
  </si>
  <si>
    <r>
      <rPr>
        <b/>
        <sz val="9"/>
        <color rgb="FF000000"/>
        <rFont val="微软雅黑"/>
        <charset val="134"/>
      </rPr>
      <t>净利润</t>
    </r>
  </si>
  <si>
    <r>
      <rPr>
        <b/>
        <sz val="9"/>
        <color rgb="FF000000"/>
        <rFont val="微软雅黑"/>
        <charset val="134"/>
      </rPr>
      <t>年化收益率</t>
    </r>
  </si>
  <si>
    <r>
      <rPr>
        <b/>
        <sz val="9"/>
        <color rgb="FF000000"/>
        <rFont val="微软雅黑"/>
        <charset val="134"/>
      </rPr>
      <t>年化收益率</t>
    </r>
    <r>
      <rPr>
        <b/>
        <sz val="9"/>
        <color rgb="FF000000"/>
        <rFont val="Consolas"/>
        <charset val="134"/>
      </rPr>
      <t>(</t>
    </r>
    <r>
      <rPr>
        <b/>
        <sz val="9"/>
        <color rgb="FF000000"/>
        <rFont val="微软雅黑"/>
        <charset val="134"/>
      </rPr>
      <t>复利</t>
    </r>
    <r>
      <rPr>
        <b/>
        <sz val="9"/>
        <color rgb="FF000000"/>
        <rFont val="Consolas"/>
        <charset val="134"/>
      </rPr>
      <t>)</t>
    </r>
  </si>
  <si>
    <r>
      <rPr>
        <b/>
        <sz val="9"/>
        <color rgb="FF000000"/>
        <rFont val="微软雅黑"/>
        <charset val="134"/>
      </rPr>
      <t>最大回撤值</t>
    </r>
  </si>
  <si>
    <r>
      <rPr>
        <b/>
        <sz val="9"/>
        <color rgb="FF000000"/>
        <rFont val="微软雅黑"/>
        <charset val="134"/>
      </rPr>
      <t>最大回撤率</t>
    </r>
  </si>
  <si>
    <r>
      <rPr>
        <b/>
        <sz val="9"/>
        <color rgb="FF000000"/>
        <rFont val="微软雅黑"/>
        <charset val="134"/>
      </rPr>
      <t>夏普比率</t>
    </r>
  </si>
  <si>
    <r>
      <rPr>
        <b/>
        <sz val="9"/>
        <color rgb="FF000000"/>
        <rFont val="微软雅黑"/>
        <charset val="134"/>
      </rPr>
      <t>收益风险比</t>
    </r>
  </si>
  <si>
    <r>
      <rPr>
        <b/>
        <sz val="9"/>
        <color rgb="FF000000"/>
        <rFont val="微软雅黑"/>
        <charset val="134"/>
      </rPr>
      <t>调整收益风险比</t>
    </r>
  </si>
  <si>
    <r>
      <rPr>
        <b/>
        <sz val="9"/>
        <color rgb="FF000000"/>
        <rFont val="Consolas"/>
        <charset val="134"/>
      </rPr>
      <t>R</t>
    </r>
    <r>
      <rPr>
        <b/>
        <sz val="9"/>
        <color rgb="FF000000"/>
        <rFont val="微软雅黑"/>
        <charset val="134"/>
      </rPr>
      <t>平方</t>
    </r>
  </si>
  <si>
    <r>
      <rPr>
        <b/>
        <sz val="9"/>
        <color rgb="FF000000"/>
        <rFont val="微软雅黑"/>
        <charset val="134"/>
      </rPr>
      <t>交易次数</t>
    </r>
  </si>
  <si>
    <r>
      <rPr>
        <b/>
        <sz val="9"/>
        <color rgb="FF000000"/>
        <rFont val="微软雅黑"/>
        <charset val="134"/>
      </rPr>
      <t>胜率</t>
    </r>
  </si>
  <si>
    <r>
      <rPr>
        <b/>
        <sz val="9"/>
        <color rgb="FF000000"/>
        <rFont val="微软雅黑"/>
        <charset val="134"/>
      </rPr>
      <t>平均利润</t>
    </r>
  </si>
  <si>
    <r>
      <rPr>
        <b/>
        <sz val="9"/>
        <color rgb="FF000000"/>
        <rFont val="微软雅黑"/>
        <charset val="134"/>
      </rPr>
      <t>盈亏比</t>
    </r>
  </si>
  <si>
    <r>
      <rPr>
        <b/>
        <sz val="9"/>
        <color rgb="FF000000"/>
        <rFont val="微软雅黑"/>
        <charset val="134"/>
      </rPr>
      <t>盈利因子</t>
    </r>
  </si>
  <si>
    <r>
      <rPr>
        <b/>
        <sz val="9"/>
        <color rgb="FF000000"/>
        <rFont val="微软雅黑"/>
        <charset val="134"/>
      </rPr>
      <t>最大浮动亏损</t>
    </r>
  </si>
  <si>
    <r>
      <rPr>
        <b/>
        <sz val="9"/>
        <color rgb="FF000000"/>
        <rFont val="微软雅黑"/>
        <charset val="134"/>
      </rPr>
      <t>说明</t>
    </r>
  </si>
  <si>
    <t>SA</t>
  </si>
  <si>
    <t>FASOT_TQA_888</t>
  </si>
  <si>
    <t>1D</t>
  </si>
  <si>
    <r>
      <rPr>
        <sz val="9"/>
        <color rgb="FF000000"/>
        <rFont val="宋体"/>
        <charset val="134"/>
      </rPr>
      <t>收益曲线不错，但</t>
    </r>
    <r>
      <rPr>
        <sz val="9"/>
        <color rgb="FF000000"/>
        <rFont val="Consolas"/>
        <charset val="134"/>
      </rPr>
      <t>202202-202207</t>
    </r>
    <r>
      <rPr>
        <sz val="9"/>
        <color rgb="FF000000"/>
        <rFont val="宋体"/>
        <charset val="134"/>
      </rPr>
      <t>出现一个大回撤，且交易次数过少</t>
    </r>
  </si>
  <si>
    <t>1H</t>
  </si>
  <si>
    <r>
      <rPr>
        <sz val="9"/>
        <color rgb="FF000000"/>
        <rFont val="宋体"/>
        <charset val="134"/>
      </rPr>
      <t>收益曲线一般，</t>
    </r>
    <r>
      <rPr>
        <sz val="9"/>
        <color theme="1"/>
        <rFont val="Consolas"/>
        <charset val="134"/>
      </rPr>
      <t>2021</t>
    </r>
    <r>
      <rPr>
        <sz val="9"/>
        <color theme="1"/>
        <rFont val="宋体"/>
        <charset val="134"/>
      </rPr>
      <t>年全线大回撤，</t>
    </r>
    <r>
      <rPr>
        <sz val="9"/>
        <color theme="1"/>
        <rFont val="Consolas"/>
        <charset val="134"/>
      </rPr>
      <t>202410</t>
    </r>
    <r>
      <rPr>
        <sz val="9"/>
        <color theme="1"/>
        <rFont val="宋体"/>
        <charset val="134"/>
      </rPr>
      <t>回测至今</t>
    </r>
  </si>
  <si>
    <t>收益曲线不错，但202202-202209出现一个回撤</t>
  </si>
  <si>
    <t>30MIN</t>
  </si>
  <si>
    <t>收益曲线差，一直向下</t>
  </si>
  <si>
    <t>FASOT_TQA_MID_888</t>
  </si>
  <si>
    <r>
      <rPr>
        <sz val="9"/>
        <color rgb="FF000000"/>
        <rFont val="宋体"/>
        <charset val="134"/>
      </rPr>
      <t>收益曲线尚可，但</t>
    </r>
    <r>
      <rPr>
        <sz val="9"/>
        <color rgb="FF000000"/>
        <rFont val="Consolas"/>
        <charset val="134"/>
      </rPr>
      <t>202202-202211</t>
    </r>
    <r>
      <rPr>
        <sz val="9"/>
        <color rgb="FF000000"/>
        <rFont val="宋体"/>
        <charset val="134"/>
      </rPr>
      <t>出现一个大回撤，且交易次数过少</t>
    </r>
  </si>
  <si>
    <t>收益曲线尚可，但202202-202211出现一个大回撤</t>
  </si>
  <si>
    <t>FG</t>
  </si>
  <si>
    <r>
      <rPr>
        <sz val="9"/>
        <color theme="1"/>
        <rFont val="宋体"/>
        <charset val="134"/>
      </rPr>
      <t>收益曲线不错，</t>
    </r>
    <r>
      <rPr>
        <sz val="9"/>
        <color theme="1"/>
        <rFont val="Consolas"/>
        <charset val="134"/>
      </rPr>
      <t>202202-202111</t>
    </r>
    <r>
      <rPr>
        <sz val="9"/>
        <color theme="1"/>
        <rFont val="宋体"/>
        <charset val="134"/>
      </rPr>
      <t>出现急剧飙升</t>
    </r>
  </si>
  <si>
    <t>收益曲线差，交易次数多，手续费过高</t>
  </si>
  <si>
    <t>收益曲线尚可</t>
  </si>
  <si>
    <t>收益曲线不错，前期平缓，202202-202111出现急剧飙升</t>
  </si>
  <si>
    <t>收益曲线一直向下，手续费非常高</t>
  </si>
  <si>
    <t>m</t>
  </si>
  <si>
    <t>收益曲线一般，出现过大回撤</t>
  </si>
  <si>
    <t>收益曲线很差，交易次数多，手续费过高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</si>
</sst>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7">
    <font>
      <sz val="11"/>
      <color theme="1"/>
      <name val="宋体"/>
      <charset val="134"/>
      <scheme val="minor"/>
    </font>
    <font>
      <sz val="9"/>
      <color theme="1"/>
      <name val="Consolas"/>
      <charset val="134"/>
    </font>
    <font>
      <b/>
      <sz val="9"/>
      <color rgb="FF000000"/>
      <name val="Consolas"/>
      <charset val="134"/>
    </font>
    <font>
      <sz val="9"/>
      <color rgb="FF000000"/>
      <name val="Consolas"/>
      <charset val="134"/>
    </font>
    <font>
      <sz val="9"/>
      <color rgb="FF000000"/>
      <name val="宋体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微软雅黑"/>
      <charset val="134"/>
    </font>
    <font>
      <b/>
      <sz val="9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>
      <alignment vertical="center"/>
    </xf>
    <xf numFmtId="177" fontId="3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3"/>
  <sheetViews>
    <sheetView tabSelected="1" workbookViewId="0">
      <selection activeCell="P13" sqref="P13"/>
    </sheetView>
  </sheetViews>
  <sheetFormatPr defaultColWidth="9.75" defaultRowHeight="13.6"/>
  <cols>
    <col min="1" max="1" width="9.75" style="1" customWidth="1"/>
    <col min="2" max="2" width="16.875" style="1" customWidth="1"/>
    <col min="3" max="3" width="9.75" style="2" customWidth="1"/>
    <col min="4" max="24" width="9.75" style="1" customWidth="1"/>
    <col min="25" max="25" width="47.25" style="1" customWidth="1"/>
    <col min="26" max="16384" width="9.75" style="1" customWidth="1"/>
  </cols>
  <sheetData>
    <row r="1" ht="28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ht="28" spans="1:25">
      <c r="A2" s="4" t="s">
        <v>25</v>
      </c>
      <c r="B2" s="4" t="s">
        <v>26</v>
      </c>
      <c r="C2" s="4" t="s">
        <v>27</v>
      </c>
      <c r="D2" s="4">
        <v>20</v>
      </c>
      <c r="E2" s="5">
        <v>43805</v>
      </c>
      <c r="F2" s="5">
        <v>46124</v>
      </c>
      <c r="G2" s="4">
        <f t="shared" ref="G2:G6" si="0">DATEDIF(E2,F2,"d")</f>
        <v>2319</v>
      </c>
      <c r="H2" s="4">
        <v>12000</v>
      </c>
      <c r="I2" s="4">
        <v>4000</v>
      </c>
      <c r="J2" s="4">
        <v>55597</v>
      </c>
      <c r="K2" s="4">
        <v>54.72</v>
      </c>
      <c r="L2" s="4">
        <v>26.61</v>
      </c>
      <c r="M2" s="4">
        <v>31206</v>
      </c>
      <c r="N2" s="4">
        <v>70.2</v>
      </c>
      <c r="O2" s="4">
        <v>0.54</v>
      </c>
      <c r="P2" s="4">
        <v>0.78</v>
      </c>
      <c r="Q2" s="4">
        <v>1.44</v>
      </c>
      <c r="R2" s="4">
        <v>0.36</v>
      </c>
      <c r="S2" s="4">
        <v>38</v>
      </c>
      <c r="T2" s="4">
        <v>50</v>
      </c>
      <c r="U2" s="4">
        <v>1463</v>
      </c>
      <c r="V2" s="4">
        <v>1.9</v>
      </c>
      <c r="W2" s="4">
        <v>1.9</v>
      </c>
      <c r="X2" s="4">
        <v>2755</v>
      </c>
      <c r="Y2" s="6" t="s">
        <v>28</v>
      </c>
    </row>
    <row r="3" ht="14" spans="1:25">
      <c r="A3" s="4"/>
      <c r="B3" s="4"/>
      <c r="C3" s="2" t="s">
        <v>29</v>
      </c>
      <c r="D3" s="4">
        <v>20</v>
      </c>
      <c r="E3" s="5">
        <v>43805</v>
      </c>
      <c r="F3" s="5">
        <v>46124</v>
      </c>
      <c r="G3" s="4">
        <f t="shared" si="0"/>
        <v>2319</v>
      </c>
      <c r="H3" s="4">
        <v>12000</v>
      </c>
      <c r="I3" s="4">
        <v>4000</v>
      </c>
      <c r="J3" s="4">
        <v>24226</v>
      </c>
      <c r="K3" s="4">
        <v>23.84</v>
      </c>
      <c r="L3" s="4">
        <v>15.62</v>
      </c>
      <c r="M3" s="4">
        <v>38681</v>
      </c>
      <c r="N3" s="4">
        <v>163.81</v>
      </c>
      <c r="O3" s="4">
        <v>0.02</v>
      </c>
      <c r="P3" s="4">
        <v>0.15</v>
      </c>
      <c r="Q3" s="4">
        <v>0.41</v>
      </c>
      <c r="R3" s="4">
        <v>0.44</v>
      </c>
      <c r="S3" s="4">
        <v>260</v>
      </c>
      <c r="T3" s="4">
        <v>38</v>
      </c>
      <c r="U3" s="4">
        <v>93</v>
      </c>
      <c r="V3" s="4">
        <v>1.87</v>
      </c>
      <c r="W3" s="4">
        <v>1.33</v>
      </c>
      <c r="X3" s="4">
        <v>31068</v>
      </c>
      <c r="Y3" s="6" t="s">
        <v>30</v>
      </c>
    </row>
    <row r="4" ht="14" spans="1:25">
      <c r="A4" s="4"/>
      <c r="B4" s="4"/>
      <c r="C4" s="2" t="s">
        <v>29</v>
      </c>
      <c r="D4" s="4">
        <v>100</v>
      </c>
      <c r="E4" s="5">
        <v>43805</v>
      </c>
      <c r="F4" s="5">
        <v>46124</v>
      </c>
      <c r="G4" s="4">
        <f t="shared" si="0"/>
        <v>2319</v>
      </c>
      <c r="H4" s="4">
        <v>12000</v>
      </c>
      <c r="I4" s="4">
        <v>4000</v>
      </c>
      <c r="J4" s="4">
        <v>51741</v>
      </c>
      <c r="K4" s="4">
        <v>50.92</v>
      </c>
      <c r="L4" s="4">
        <v>25.51</v>
      </c>
      <c r="M4" s="4">
        <v>27980</v>
      </c>
      <c r="N4" s="4">
        <v>61.16</v>
      </c>
      <c r="O4" s="4">
        <v>0.55</v>
      </c>
      <c r="P4" s="4">
        <v>0.83</v>
      </c>
      <c r="Q4" s="4">
        <v>1.28</v>
      </c>
      <c r="R4" s="4">
        <v>0.32</v>
      </c>
      <c r="S4" s="4">
        <v>46</v>
      </c>
      <c r="T4" s="4">
        <v>39</v>
      </c>
      <c r="U4" s="4">
        <v>1125</v>
      </c>
      <c r="V4" s="4">
        <v>2.66</v>
      </c>
      <c r="W4" s="4">
        <v>1.71</v>
      </c>
      <c r="X4" s="4">
        <v>809</v>
      </c>
      <c r="Y4" s="6" t="s">
        <v>31</v>
      </c>
    </row>
    <row r="5" spans="1:25">
      <c r="A5" s="4"/>
      <c r="B5" s="4"/>
      <c r="C5" s="2" t="s">
        <v>32</v>
      </c>
      <c r="D5" s="4">
        <v>20</v>
      </c>
      <c r="E5" s="5">
        <v>43805</v>
      </c>
      <c r="F5" s="5">
        <v>46124</v>
      </c>
      <c r="G5" s="4">
        <f t="shared" si="0"/>
        <v>2319</v>
      </c>
      <c r="H5" s="4">
        <v>12000</v>
      </c>
      <c r="I5" s="4">
        <v>4000</v>
      </c>
      <c r="J5" s="4">
        <v>-23026</v>
      </c>
      <c r="K5" s="4">
        <v>-22.66</v>
      </c>
      <c r="L5" s="4">
        <v>-100</v>
      </c>
      <c r="M5" s="4">
        <v>34273</v>
      </c>
      <c r="N5" s="4">
        <v>137.58</v>
      </c>
      <c r="O5" s="4">
        <v>-0.05</v>
      </c>
      <c r="P5" s="4">
        <v>-0.16</v>
      </c>
      <c r="Q5" s="4">
        <v>-0.25</v>
      </c>
      <c r="R5" s="4">
        <v>0.15</v>
      </c>
      <c r="S5" s="4">
        <v>549</v>
      </c>
      <c r="T5" s="4">
        <v>35</v>
      </c>
      <c r="U5" s="4">
        <v>-42</v>
      </c>
      <c r="V5" s="4">
        <v>1.72</v>
      </c>
      <c r="W5" s="4">
        <v>0.92</v>
      </c>
      <c r="X5" s="4">
        <v>25043</v>
      </c>
      <c r="Y5" s="7" t="s">
        <v>33</v>
      </c>
    </row>
    <row r="6" ht="14" spans="1:25">
      <c r="A6" s="4"/>
      <c r="B6" s="4"/>
      <c r="C6" s="2" t="s">
        <v>32</v>
      </c>
      <c r="D6" s="4">
        <v>200</v>
      </c>
      <c r="E6" s="5">
        <v>43805</v>
      </c>
      <c r="F6" s="5">
        <v>46124</v>
      </c>
      <c r="G6" s="4">
        <f t="shared" si="0"/>
        <v>2319</v>
      </c>
      <c r="H6" s="4">
        <v>12000</v>
      </c>
      <c r="I6" s="4">
        <v>4000</v>
      </c>
      <c r="J6" s="4">
        <v>52341</v>
      </c>
      <c r="K6" s="4">
        <v>51.51</v>
      </c>
      <c r="L6" s="4">
        <v>25.69</v>
      </c>
      <c r="M6" s="4">
        <v>28320</v>
      </c>
      <c r="N6" s="4">
        <v>61.6</v>
      </c>
      <c r="O6" s="4">
        <v>0.56</v>
      </c>
      <c r="P6" s="4">
        <v>0.84</v>
      </c>
      <c r="Q6" s="8">
        <v>1.3</v>
      </c>
      <c r="R6" s="4">
        <v>0.33</v>
      </c>
      <c r="S6" s="4">
        <v>46</v>
      </c>
      <c r="T6" s="4">
        <v>39</v>
      </c>
      <c r="U6" s="4">
        <v>1138</v>
      </c>
      <c r="V6" s="4">
        <v>2.68</v>
      </c>
      <c r="W6" s="4">
        <v>1.72</v>
      </c>
      <c r="X6" s="4">
        <v>929</v>
      </c>
      <c r="Y6" s="6" t="s">
        <v>31</v>
      </c>
    </row>
    <row r="7" ht="28" spans="1:25">
      <c r="A7" s="4"/>
      <c r="B7" s="4" t="s">
        <v>34</v>
      </c>
      <c r="C7" s="4" t="s">
        <v>27</v>
      </c>
      <c r="D7" s="4">
        <v>20</v>
      </c>
      <c r="E7" s="5">
        <v>43805</v>
      </c>
      <c r="F7" s="5">
        <v>46124</v>
      </c>
      <c r="G7" s="4">
        <f t="shared" ref="G7:G11" si="1">DATEDIF(E7,F7,"d")</f>
        <v>2319</v>
      </c>
      <c r="H7" s="4">
        <v>12000</v>
      </c>
      <c r="I7" s="4">
        <v>4000</v>
      </c>
      <c r="J7" s="4">
        <v>32266</v>
      </c>
      <c r="K7" s="4">
        <v>31.75</v>
      </c>
      <c r="L7" s="4">
        <v>18.99</v>
      </c>
      <c r="M7" s="4">
        <v>37288</v>
      </c>
      <c r="N7" s="4">
        <v>141</v>
      </c>
      <c r="O7" s="4">
        <v>0.01</v>
      </c>
      <c r="P7" s="4">
        <v>0.23</v>
      </c>
      <c r="Q7" s="4">
        <v>0.47</v>
      </c>
      <c r="R7" s="4">
        <v>0.48</v>
      </c>
      <c r="S7" s="4">
        <v>58</v>
      </c>
      <c r="T7" s="4">
        <v>41</v>
      </c>
      <c r="U7" s="4">
        <v>556</v>
      </c>
      <c r="V7" s="4">
        <v>1.95</v>
      </c>
      <c r="W7" s="4">
        <v>1.38</v>
      </c>
      <c r="X7" s="4">
        <v>26842</v>
      </c>
      <c r="Y7" s="6" t="s">
        <v>35</v>
      </c>
    </row>
    <row r="8" ht="14" spans="1:25">
      <c r="A8" s="4"/>
      <c r="B8" s="4"/>
      <c r="C8" s="2" t="s">
        <v>29</v>
      </c>
      <c r="D8" s="4">
        <v>20</v>
      </c>
      <c r="E8" s="5">
        <v>43805</v>
      </c>
      <c r="F8" s="5">
        <v>46124</v>
      </c>
      <c r="G8" s="4">
        <f t="shared" si="1"/>
        <v>2319</v>
      </c>
      <c r="H8" s="4">
        <v>12000</v>
      </c>
      <c r="I8" s="4">
        <v>4000</v>
      </c>
      <c r="J8" s="4">
        <v>17140</v>
      </c>
      <c r="K8" s="4">
        <v>16.87</v>
      </c>
      <c r="L8" s="4">
        <v>12.15</v>
      </c>
      <c r="M8" s="4">
        <v>30256</v>
      </c>
      <c r="N8" s="4">
        <v>111.28</v>
      </c>
      <c r="O8" s="4">
        <v>0.02</v>
      </c>
      <c r="P8" s="4">
        <v>0.15</v>
      </c>
      <c r="Q8" s="4">
        <v>0.34</v>
      </c>
      <c r="R8" s="4">
        <v>0.31</v>
      </c>
      <c r="S8" s="4">
        <v>334</v>
      </c>
      <c r="T8" s="4">
        <v>37</v>
      </c>
      <c r="U8" s="4">
        <v>51</v>
      </c>
      <c r="V8" s="4">
        <v>1.85</v>
      </c>
      <c r="W8" s="4">
        <v>1.08</v>
      </c>
      <c r="X8" s="4">
        <v>18983</v>
      </c>
      <c r="Y8" s="6" t="s">
        <v>30</v>
      </c>
    </row>
    <row r="9" spans="1:25">
      <c r="A9" s="4"/>
      <c r="B9" s="4"/>
      <c r="C9" s="2" t="s">
        <v>29</v>
      </c>
      <c r="D9" s="4">
        <v>100</v>
      </c>
      <c r="E9" s="5">
        <v>43805</v>
      </c>
      <c r="F9" s="5">
        <v>46124</v>
      </c>
      <c r="G9" s="4">
        <f t="shared" si="1"/>
        <v>2319</v>
      </c>
      <c r="H9" s="4">
        <v>12000</v>
      </c>
      <c r="I9" s="4">
        <v>4000</v>
      </c>
      <c r="J9" s="4">
        <v>27980</v>
      </c>
      <c r="K9" s="4">
        <v>27.54</v>
      </c>
      <c r="L9" s="4">
        <v>17.26</v>
      </c>
      <c r="M9" s="4">
        <v>41950</v>
      </c>
      <c r="N9" s="4">
        <v>102.42</v>
      </c>
      <c r="O9" s="4">
        <v>0.07</v>
      </c>
      <c r="P9" s="4">
        <v>0.27</v>
      </c>
      <c r="Q9" s="4">
        <v>0.61</v>
      </c>
      <c r="R9" s="4">
        <v>0.26</v>
      </c>
      <c r="S9" s="4">
        <v>70</v>
      </c>
      <c r="T9" s="4">
        <v>33</v>
      </c>
      <c r="U9" s="4">
        <v>400</v>
      </c>
      <c r="V9" s="4">
        <v>2.65</v>
      </c>
      <c r="W9" s="8">
        <v>1.3</v>
      </c>
      <c r="X9" s="4">
        <v>16991</v>
      </c>
      <c r="Y9" s="7" t="s">
        <v>36</v>
      </c>
    </row>
    <row r="10" spans="1:25">
      <c r="A10" s="4"/>
      <c r="B10" s="4"/>
      <c r="C10" s="2" t="s">
        <v>32</v>
      </c>
      <c r="D10" s="4">
        <v>20</v>
      </c>
      <c r="E10" s="5">
        <v>43805</v>
      </c>
      <c r="F10" s="5">
        <v>46124</v>
      </c>
      <c r="G10" s="4">
        <f t="shared" si="1"/>
        <v>2319</v>
      </c>
      <c r="H10" s="4">
        <v>12000</v>
      </c>
      <c r="I10" s="4">
        <v>4000</v>
      </c>
      <c r="J10" s="4">
        <v>-82687</v>
      </c>
      <c r="K10" s="4">
        <v>-81.38</v>
      </c>
      <c r="L10" s="4">
        <v>-100</v>
      </c>
      <c r="M10" s="4">
        <v>87019</v>
      </c>
      <c r="N10" s="4">
        <v>488.03</v>
      </c>
      <c r="O10" s="4">
        <v>-0.05</v>
      </c>
      <c r="P10" s="4">
        <v>-0.17</v>
      </c>
      <c r="Q10" s="4">
        <v>-0.5</v>
      </c>
      <c r="R10" s="4">
        <v>0.27</v>
      </c>
      <c r="S10" s="4">
        <v>741</v>
      </c>
      <c r="T10" s="4">
        <v>32</v>
      </c>
      <c r="U10" s="4">
        <v>-112</v>
      </c>
      <c r="V10" s="4">
        <v>1.64</v>
      </c>
      <c r="W10" s="4">
        <v>0.76</v>
      </c>
      <c r="X10" s="4">
        <v>85188</v>
      </c>
      <c r="Y10" s="7" t="s">
        <v>33</v>
      </c>
    </row>
    <row r="11" spans="1:25">
      <c r="A11" s="4"/>
      <c r="B11" s="4"/>
      <c r="C11" s="2" t="s">
        <v>32</v>
      </c>
      <c r="D11" s="4">
        <v>200</v>
      </c>
      <c r="E11" s="5">
        <v>43805</v>
      </c>
      <c r="F11" s="5">
        <v>46124</v>
      </c>
      <c r="G11" s="4">
        <f t="shared" si="1"/>
        <v>2319</v>
      </c>
      <c r="H11" s="4">
        <v>12000</v>
      </c>
      <c r="I11" s="4">
        <v>4000</v>
      </c>
      <c r="J11" s="4">
        <v>34240</v>
      </c>
      <c r="K11" s="8">
        <v>33.7</v>
      </c>
      <c r="L11" s="4">
        <v>19.74</v>
      </c>
      <c r="M11" s="4">
        <v>38791</v>
      </c>
      <c r="N11" s="4">
        <v>93.57</v>
      </c>
      <c r="O11" s="4">
        <v>0.29</v>
      </c>
      <c r="P11" s="4">
        <v>0.36</v>
      </c>
      <c r="Q11" s="4">
        <v>0.81</v>
      </c>
      <c r="R11" s="4">
        <v>0.28</v>
      </c>
      <c r="S11" s="4">
        <v>70</v>
      </c>
      <c r="T11" s="4">
        <v>33</v>
      </c>
      <c r="U11" s="4">
        <v>489</v>
      </c>
      <c r="V11" s="4">
        <v>2.82</v>
      </c>
      <c r="W11" s="4">
        <v>1.38</v>
      </c>
      <c r="X11" s="4">
        <v>13332</v>
      </c>
      <c r="Y11" s="7" t="s">
        <v>36</v>
      </c>
    </row>
    <row r="12" spans="1:25">
      <c r="A12" s="4"/>
      <c r="B12" s="4"/>
      <c r="C12" s="4"/>
      <c r="D12" s="4"/>
      <c r="E12" s="5"/>
      <c r="F12" s="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7"/>
    </row>
    <row r="13" ht="14" spans="1:25">
      <c r="A13" s="4" t="s">
        <v>37</v>
      </c>
      <c r="B13" s="4" t="s">
        <v>26</v>
      </c>
      <c r="C13" s="4" t="s">
        <v>27</v>
      </c>
      <c r="D13" s="4">
        <v>20</v>
      </c>
      <c r="E13" s="5">
        <v>42472</v>
      </c>
      <c r="F13" s="5">
        <v>46124</v>
      </c>
      <c r="G13" s="4">
        <f>DATEDIF(E13,F13,"d")</f>
        <v>3652</v>
      </c>
      <c r="H13" s="4">
        <v>12000</v>
      </c>
      <c r="I13" s="4">
        <v>4000</v>
      </c>
      <c r="J13" s="4">
        <v>50655</v>
      </c>
      <c r="K13" s="4">
        <v>31.65</v>
      </c>
      <c r="L13" s="4">
        <v>15.33</v>
      </c>
      <c r="M13" s="4">
        <v>15582</v>
      </c>
      <c r="N13" s="4">
        <v>45</v>
      </c>
      <c r="O13" s="4">
        <v>0.6</v>
      </c>
      <c r="P13" s="4">
        <v>0.7</v>
      </c>
      <c r="Q13" s="4">
        <v>1.36</v>
      </c>
      <c r="R13" s="4">
        <v>0.38</v>
      </c>
      <c r="S13" s="4">
        <v>64</v>
      </c>
      <c r="T13" s="4">
        <v>53</v>
      </c>
      <c r="U13" s="4">
        <v>791</v>
      </c>
      <c r="V13" s="4">
        <v>1.54</v>
      </c>
      <c r="W13" s="4">
        <v>1.75</v>
      </c>
      <c r="X13" s="4">
        <v>2849</v>
      </c>
      <c r="Y13" s="7" t="s">
        <v>38</v>
      </c>
    </row>
    <row r="14" spans="1:25">
      <c r="A14" s="4"/>
      <c r="B14" s="4"/>
      <c r="C14" s="2" t="s">
        <v>29</v>
      </c>
      <c r="D14" s="4">
        <v>20</v>
      </c>
      <c r="E14" s="5">
        <v>42472</v>
      </c>
      <c r="F14" s="5">
        <v>46124</v>
      </c>
      <c r="G14" s="4">
        <f>DATEDIF(E14,F14,"d")</f>
        <v>3652</v>
      </c>
      <c r="H14" s="4">
        <v>12000</v>
      </c>
      <c r="I14" s="4">
        <v>4000</v>
      </c>
      <c r="J14" s="4">
        <v>-16051</v>
      </c>
      <c r="K14" s="4">
        <v>-10.03</v>
      </c>
      <c r="L14" s="4">
        <v>-100</v>
      </c>
      <c r="M14" s="4">
        <v>28097</v>
      </c>
      <c r="N14" s="4">
        <v>153.98</v>
      </c>
      <c r="O14" s="4">
        <v>-0.02</v>
      </c>
      <c r="P14" s="4">
        <v>-0.07</v>
      </c>
      <c r="Q14" s="4">
        <v>-0.17</v>
      </c>
      <c r="R14" s="4">
        <v>0.03</v>
      </c>
      <c r="S14" s="4">
        <v>454</v>
      </c>
      <c r="T14" s="4">
        <v>33</v>
      </c>
      <c r="U14" s="4">
        <v>-35</v>
      </c>
      <c r="V14" s="4">
        <v>1.84</v>
      </c>
      <c r="W14" s="4">
        <v>0.93</v>
      </c>
      <c r="X14" s="4">
        <v>25850</v>
      </c>
      <c r="Y14" s="7" t="s">
        <v>39</v>
      </c>
    </row>
    <row r="15" ht="14" spans="1:25">
      <c r="A15" s="4"/>
      <c r="B15" s="4"/>
      <c r="C15" s="2" t="s">
        <v>29</v>
      </c>
      <c r="D15" s="4">
        <v>100</v>
      </c>
      <c r="E15" s="5">
        <v>42472</v>
      </c>
      <c r="F15" s="5">
        <v>46124</v>
      </c>
      <c r="G15" s="4">
        <f t="shared" ref="G15:G20" si="2">DATEDIF(E15,F15,"d")</f>
        <v>3652</v>
      </c>
      <c r="H15" s="4">
        <v>12000</v>
      </c>
      <c r="I15" s="4">
        <v>4000</v>
      </c>
      <c r="J15" s="4">
        <v>66020</v>
      </c>
      <c r="K15" s="4">
        <v>41.25</v>
      </c>
      <c r="L15" s="4">
        <v>17.75</v>
      </c>
      <c r="M15" s="4">
        <v>15830</v>
      </c>
      <c r="N15" s="4">
        <v>70.23</v>
      </c>
      <c r="O15" s="4">
        <v>0.52</v>
      </c>
      <c r="P15" s="4">
        <v>0.59</v>
      </c>
      <c r="Q15" s="4">
        <v>1.44</v>
      </c>
      <c r="R15" s="4">
        <v>0.49</v>
      </c>
      <c r="S15" s="4">
        <v>79</v>
      </c>
      <c r="T15" s="4">
        <v>53</v>
      </c>
      <c r="U15" s="4">
        <v>836</v>
      </c>
      <c r="V15" s="4">
        <v>1.73</v>
      </c>
      <c r="W15" s="4">
        <v>1.96</v>
      </c>
      <c r="X15" s="4">
        <v>9289</v>
      </c>
      <c r="Y15" s="7" t="s">
        <v>38</v>
      </c>
    </row>
    <row r="16" spans="1:25">
      <c r="A16" s="4"/>
      <c r="B16" s="4"/>
      <c r="C16" s="2" t="s">
        <v>32</v>
      </c>
      <c r="D16" s="4">
        <v>20</v>
      </c>
      <c r="E16" s="5">
        <v>42472</v>
      </c>
      <c r="F16" s="5">
        <v>46124</v>
      </c>
      <c r="G16" s="4">
        <f t="shared" si="2"/>
        <v>3652</v>
      </c>
      <c r="H16" s="4">
        <v>12000</v>
      </c>
      <c r="I16" s="4">
        <v>4000</v>
      </c>
      <c r="J16" s="4">
        <v>-66683</v>
      </c>
      <c r="K16" s="4">
        <v>-41.67</v>
      </c>
      <c r="L16" s="4">
        <v>-100</v>
      </c>
      <c r="M16" s="4">
        <v>77008</v>
      </c>
      <c r="N16" s="4">
        <v>450.93</v>
      </c>
      <c r="O16" s="4">
        <v>-0.06</v>
      </c>
      <c r="P16" s="4">
        <v>-0.09</v>
      </c>
      <c r="Q16" s="4">
        <v>-0.05</v>
      </c>
      <c r="R16" s="4">
        <v>0.1</v>
      </c>
      <c r="S16" s="4">
        <v>912</v>
      </c>
      <c r="T16" s="4">
        <v>31</v>
      </c>
      <c r="U16" s="4">
        <v>-73</v>
      </c>
      <c r="V16" s="4">
        <v>1.75</v>
      </c>
      <c r="W16" s="4">
        <v>0.8</v>
      </c>
      <c r="X16" s="4">
        <v>75930</v>
      </c>
      <c r="Y16" s="7" t="s">
        <v>39</v>
      </c>
    </row>
    <row r="17" ht="14" spans="1:25">
      <c r="A17" s="4"/>
      <c r="B17" s="4"/>
      <c r="C17" s="2" t="s">
        <v>32</v>
      </c>
      <c r="D17" s="4">
        <v>200</v>
      </c>
      <c r="E17" s="5">
        <v>42472</v>
      </c>
      <c r="F17" s="5">
        <v>46124</v>
      </c>
      <c r="G17" s="4">
        <f t="shared" si="2"/>
        <v>3652</v>
      </c>
      <c r="H17" s="4">
        <v>12000</v>
      </c>
      <c r="I17" s="4">
        <v>4000</v>
      </c>
      <c r="J17" s="4">
        <v>67996</v>
      </c>
      <c r="K17" s="4">
        <v>42.49</v>
      </c>
      <c r="L17" s="4">
        <v>18.03</v>
      </c>
      <c r="M17" s="4">
        <v>14469</v>
      </c>
      <c r="N17" s="4">
        <v>63.96</v>
      </c>
      <c r="O17" s="4">
        <v>0.56</v>
      </c>
      <c r="P17" s="4">
        <v>0.66</v>
      </c>
      <c r="Q17" s="4">
        <v>1.39</v>
      </c>
      <c r="R17" s="4">
        <v>0.48</v>
      </c>
      <c r="S17" s="4">
        <v>75</v>
      </c>
      <c r="T17" s="4">
        <v>55</v>
      </c>
      <c r="U17" s="4">
        <v>907</v>
      </c>
      <c r="V17" s="4">
        <v>1.69</v>
      </c>
      <c r="W17" s="4">
        <v>2.04</v>
      </c>
      <c r="X17" s="4">
        <v>7848</v>
      </c>
      <c r="Y17" s="7" t="s">
        <v>38</v>
      </c>
    </row>
    <row r="18" ht="14" spans="1:25">
      <c r="A18" s="4"/>
      <c r="B18" s="4" t="s">
        <v>34</v>
      </c>
      <c r="C18" s="4" t="s">
        <v>27</v>
      </c>
      <c r="D18" s="4">
        <v>20</v>
      </c>
      <c r="E18" s="5">
        <v>42472</v>
      </c>
      <c r="F18" s="5">
        <v>46124</v>
      </c>
      <c r="G18" s="4">
        <f t="shared" si="2"/>
        <v>3652</v>
      </c>
      <c r="H18" s="4">
        <v>12000</v>
      </c>
      <c r="I18" s="4">
        <v>4000</v>
      </c>
      <c r="J18" s="4">
        <v>34891</v>
      </c>
      <c r="K18" s="4">
        <v>21.8</v>
      </c>
      <c r="L18" s="4">
        <v>12.26</v>
      </c>
      <c r="M18" s="4">
        <v>23018</v>
      </c>
      <c r="N18" s="4">
        <v>72.34</v>
      </c>
      <c r="O18" s="4">
        <v>0.32</v>
      </c>
      <c r="P18" s="4">
        <v>0.3</v>
      </c>
      <c r="Q18" s="4">
        <v>0.59</v>
      </c>
      <c r="R18" s="4">
        <v>0.5</v>
      </c>
      <c r="S18" s="4">
        <v>83</v>
      </c>
      <c r="T18" s="4">
        <v>46</v>
      </c>
      <c r="U18" s="4">
        <v>420</v>
      </c>
      <c r="V18" s="4">
        <v>1.69</v>
      </c>
      <c r="W18" s="4">
        <v>1.43</v>
      </c>
      <c r="X18" s="4">
        <v>10494</v>
      </c>
      <c r="Y18" s="7" t="s">
        <v>40</v>
      </c>
    </row>
    <row r="19" spans="1:25">
      <c r="A19" s="4"/>
      <c r="B19" s="4"/>
      <c r="C19" s="2" t="s">
        <v>29</v>
      </c>
      <c r="D19" s="4">
        <v>20</v>
      </c>
      <c r="E19" s="5">
        <v>42472</v>
      </c>
      <c r="F19" s="5">
        <v>46124</v>
      </c>
      <c r="G19" s="4">
        <f t="shared" si="2"/>
        <v>3652</v>
      </c>
      <c r="H19" s="4">
        <v>12000</v>
      </c>
      <c r="I19" s="4">
        <v>4000</v>
      </c>
      <c r="J19" s="4">
        <v>-18259</v>
      </c>
      <c r="K19" s="4">
        <v>-11.41</v>
      </c>
      <c r="L19" s="4">
        <v>-100</v>
      </c>
      <c r="M19" s="4">
        <v>32776</v>
      </c>
      <c r="N19" s="4">
        <v>173.17</v>
      </c>
      <c r="O19" s="4">
        <v>-0.04</v>
      </c>
      <c r="P19" s="4">
        <v>-0.07</v>
      </c>
      <c r="Q19" s="4">
        <v>-0.3</v>
      </c>
      <c r="R19" s="4">
        <v>0</v>
      </c>
      <c r="S19" s="4">
        <v>586</v>
      </c>
      <c r="T19" s="4">
        <v>33</v>
      </c>
      <c r="U19" s="4">
        <v>-31</v>
      </c>
      <c r="V19" s="4">
        <v>1.9</v>
      </c>
      <c r="W19" s="4">
        <v>0.93</v>
      </c>
      <c r="X19" s="4">
        <v>29849</v>
      </c>
      <c r="Y19" s="7" t="s">
        <v>39</v>
      </c>
    </row>
    <row r="20" spans="1:25">
      <c r="A20" s="4"/>
      <c r="B20" s="4"/>
      <c r="C20" s="2" t="s">
        <v>29</v>
      </c>
      <c r="D20" s="4">
        <v>100</v>
      </c>
      <c r="E20" s="5">
        <v>42472</v>
      </c>
      <c r="F20" s="5">
        <v>46124</v>
      </c>
      <c r="G20" s="4">
        <f t="shared" si="2"/>
        <v>3652</v>
      </c>
      <c r="H20" s="4">
        <v>12000</v>
      </c>
      <c r="I20" s="4">
        <v>4000</v>
      </c>
      <c r="J20" s="4">
        <v>74662</v>
      </c>
      <c r="K20" s="4">
        <v>46.65</v>
      </c>
      <c r="L20" s="4">
        <v>18.94</v>
      </c>
      <c r="M20" s="4">
        <v>13338</v>
      </c>
      <c r="N20" s="4">
        <v>65.14</v>
      </c>
      <c r="O20" s="4">
        <v>0.58</v>
      </c>
      <c r="P20" s="4">
        <v>0.72</v>
      </c>
      <c r="Q20" s="4">
        <v>1.5</v>
      </c>
      <c r="R20" s="4">
        <v>0.49</v>
      </c>
      <c r="S20" s="4">
        <v>113</v>
      </c>
      <c r="T20" s="4">
        <v>51</v>
      </c>
      <c r="U20" s="4">
        <v>661</v>
      </c>
      <c r="V20" s="4">
        <v>1.97</v>
      </c>
      <c r="W20" s="4">
        <v>2.08</v>
      </c>
      <c r="X20" s="4">
        <v>8862</v>
      </c>
      <c r="Y20" s="7" t="s">
        <v>41</v>
      </c>
    </row>
    <row r="21" spans="1:25">
      <c r="A21" s="4"/>
      <c r="B21" s="4"/>
      <c r="C21" s="2" t="s">
        <v>32</v>
      </c>
      <c r="D21" s="4">
        <v>20</v>
      </c>
      <c r="E21" s="5">
        <v>42472</v>
      </c>
      <c r="F21" s="5">
        <v>46124</v>
      </c>
      <c r="G21" s="4">
        <f t="shared" ref="G21:G33" si="3">DATEDIF(E21,F21,"d")</f>
        <v>3652</v>
      </c>
      <c r="H21" s="4">
        <v>12000</v>
      </c>
      <c r="I21" s="4">
        <v>4000</v>
      </c>
      <c r="J21" s="4">
        <v>-125202</v>
      </c>
      <c r="K21" s="4">
        <v>-78.23</v>
      </c>
      <c r="L21" s="4">
        <v>-100</v>
      </c>
      <c r="M21" s="4">
        <v>135539</v>
      </c>
      <c r="N21" s="4">
        <v>784.83</v>
      </c>
      <c r="O21" s="4">
        <v>-0.06</v>
      </c>
      <c r="P21" s="4">
        <v>-0.1</v>
      </c>
      <c r="Q21" s="4">
        <v>-0.5</v>
      </c>
      <c r="R21" s="4">
        <v>0.17</v>
      </c>
      <c r="S21" s="4">
        <v>1216</v>
      </c>
      <c r="T21" s="4">
        <v>29</v>
      </c>
      <c r="U21" s="4">
        <v>-103</v>
      </c>
      <c r="V21" s="4">
        <v>1.68</v>
      </c>
      <c r="W21" s="4">
        <v>0.69</v>
      </c>
      <c r="X21" s="4">
        <v>134269</v>
      </c>
      <c r="Y21" s="7" t="s">
        <v>42</v>
      </c>
    </row>
    <row r="22" spans="1:25">
      <c r="A22" s="4"/>
      <c r="B22" s="4"/>
      <c r="C22" s="2" t="s">
        <v>32</v>
      </c>
      <c r="D22" s="4">
        <v>200</v>
      </c>
      <c r="E22" s="5">
        <v>42472</v>
      </c>
      <c r="F22" s="5">
        <v>46124</v>
      </c>
      <c r="G22" s="4">
        <f t="shared" si="3"/>
        <v>3652</v>
      </c>
      <c r="H22" s="4">
        <v>12000</v>
      </c>
      <c r="I22" s="4">
        <v>4000</v>
      </c>
      <c r="J22" s="4">
        <v>70958</v>
      </c>
      <c r="K22" s="4">
        <v>44.34</v>
      </c>
      <c r="L22" s="4">
        <v>18.44</v>
      </c>
      <c r="M22" s="4">
        <v>16507</v>
      </c>
      <c r="N22" s="4">
        <v>77.06</v>
      </c>
      <c r="O22" s="4">
        <v>0.49</v>
      </c>
      <c r="P22" s="4">
        <v>0.58</v>
      </c>
      <c r="Q22" s="4">
        <v>1.42</v>
      </c>
      <c r="R22" s="4">
        <v>0.51</v>
      </c>
      <c r="S22" s="4">
        <v>109</v>
      </c>
      <c r="T22" s="4">
        <v>50</v>
      </c>
      <c r="U22" s="4">
        <v>651</v>
      </c>
      <c r="V22" s="4">
        <v>2.09</v>
      </c>
      <c r="W22" s="4">
        <v>2.05</v>
      </c>
      <c r="X22" s="4">
        <v>11086</v>
      </c>
      <c r="Y22" s="7" t="s">
        <v>41</v>
      </c>
    </row>
    <row r="24" ht="14" spans="1:25">
      <c r="A24" s="4" t="s">
        <v>43</v>
      </c>
      <c r="B24" s="4" t="s">
        <v>26</v>
      </c>
      <c r="C24" s="4" t="s">
        <v>27</v>
      </c>
      <c r="D24" s="4">
        <v>20</v>
      </c>
      <c r="E24" s="5">
        <v>42472</v>
      </c>
      <c r="F24" s="5">
        <v>46124</v>
      </c>
      <c r="G24" s="4">
        <f t="shared" si="3"/>
        <v>3652</v>
      </c>
      <c r="H24" s="4">
        <v>9000</v>
      </c>
      <c r="I24" s="4">
        <v>3000</v>
      </c>
      <c r="J24" s="4">
        <v>6649</v>
      </c>
      <c r="K24" s="4">
        <v>5.54</v>
      </c>
      <c r="L24" s="4">
        <v>4.51</v>
      </c>
      <c r="M24" s="4">
        <v>23543</v>
      </c>
      <c r="N24" s="4">
        <v>93.08</v>
      </c>
      <c r="O24" s="4">
        <v>0.07</v>
      </c>
      <c r="P24" s="4">
        <v>0.06</v>
      </c>
      <c r="Q24" s="4">
        <v>0.14</v>
      </c>
      <c r="R24" s="4">
        <v>0.03</v>
      </c>
      <c r="S24" s="4">
        <v>74</v>
      </c>
      <c r="T24" s="4">
        <v>45</v>
      </c>
      <c r="U24" s="4">
        <v>90</v>
      </c>
      <c r="V24" s="4">
        <v>1.37</v>
      </c>
      <c r="W24" s="4">
        <v>1.1</v>
      </c>
      <c r="X24" s="4">
        <v>10250</v>
      </c>
      <c r="Y24" s="6" t="s">
        <v>44</v>
      </c>
    </row>
    <row r="25" ht="14" spans="1:25">
      <c r="A25" s="4"/>
      <c r="B25" s="4"/>
      <c r="C25" s="2" t="s">
        <v>29</v>
      </c>
      <c r="D25" s="4">
        <v>20</v>
      </c>
      <c r="E25" s="5">
        <v>42472</v>
      </c>
      <c r="F25" s="5">
        <v>46124</v>
      </c>
      <c r="G25" s="4">
        <f t="shared" si="3"/>
        <v>3652</v>
      </c>
      <c r="H25" s="4">
        <v>9000</v>
      </c>
      <c r="I25" s="4">
        <v>3000</v>
      </c>
      <c r="J25" s="4">
        <v>-25456</v>
      </c>
      <c r="K25" s="4">
        <v>-21.21</v>
      </c>
      <c r="L25" s="4">
        <v>-100</v>
      </c>
      <c r="M25" s="4">
        <v>35519</v>
      </c>
      <c r="N25" s="4">
        <v>214.3</v>
      </c>
      <c r="O25" s="4">
        <v>-0.03</v>
      </c>
      <c r="P25" s="4">
        <v>-0.1</v>
      </c>
      <c r="Q25" s="4">
        <v>-0.35</v>
      </c>
      <c r="R25" s="4">
        <v>0.44</v>
      </c>
      <c r="S25" s="4">
        <v>473</v>
      </c>
      <c r="T25" s="4">
        <v>36</v>
      </c>
      <c r="U25" s="4">
        <v>-54</v>
      </c>
      <c r="V25" s="4">
        <v>1.48</v>
      </c>
      <c r="W25" s="4">
        <v>0.85</v>
      </c>
      <c r="X25" s="4">
        <v>30945</v>
      </c>
      <c r="Y25" s="6" t="s">
        <v>39</v>
      </c>
    </row>
    <row r="26" ht="14" spans="1:25">
      <c r="A26" s="4"/>
      <c r="B26" s="4"/>
      <c r="C26" s="2" t="s">
        <v>29</v>
      </c>
      <c r="D26" s="4">
        <v>100</v>
      </c>
      <c r="E26" s="5">
        <v>42472</v>
      </c>
      <c r="F26" s="5">
        <v>46124</v>
      </c>
      <c r="G26" s="4">
        <f t="shared" si="3"/>
        <v>3652</v>
      </c>
      <c r="H26" s="4">
        <v>9000</v>
      </c>
      <c r="I26" s="4">
        <v>3000</v>
      </c>
      <c r="J26" s="4">
        <v>-2845</v>
      </c>
      <c r="K26" s="4">
        <v>-2.37</v>
      </c>
      <c r="L26" s="4">
        <v>-2.67</v>
      </c>
      <c r="M26" s="4">
        <v>31731</v>
      </c>
      <c r="N26" s="4">
        <v>159.05</v>
      </c>
      <c r="O26" s="4">
        <v>-0.01</v>
      </c>
      <c r="P26" s="4">
        <v>-0.01</v>
      </c>
      <c r="Q26" s="4">
        <v>-0.05</v>
      </c>
      <c r="R26" s="4">
        <v>0.13</v>
      </c>
      <c r="S26" s="4">
        <v>96</v>
      </c>
      <c r="T26" s="4">
        <v>41</v>
      </c>
      <c r="U26" s="4">
        <v>-30</v>
      </c>
      <c r="V26" s="4">
        <v>1.41</v>
      </c>
      <c r="W26" s="4">
        <v>0.96</v>
      </c>
      <c r="X26" s="4">
        <v>23781</v>
      </c>
      <c r="Y26" s="6" t="s">
        <v>44</v>
      </c>
    </row>
    <row r="27" spans="1:25">
      <c r="A27" s="4"/>
      <c r="B27" s="4"/>
      <c r="C27" s="2" t="s">
        <v>32</v>
      </c>
      <c r="D27" s="4">
        <v>20</v>
      </c>
      <c r="E27" s="5">
        <v>42472</v>
      </c>
      <c r="F27" s="5">
        <v>46124</v>
      </c>
      <c r="G27" s="4">
        <f t="shared" si="3"/>
        <v>3652</v>
      </c>
      <c r="H27" s="4">
        <v>9000</v>
      </c>
      <c r="I27" s="4">
        <v>3000</v>
      </c>
      <c r="J27" s="4">
        <v>-51299</v>
      </c>
      <c r="K27" s="4">
        <v>-42.74</v>
      </c>
      <c r="L27" s="4">
        <v>-100</v>
      </c>
      <c r="M27" s="4">
        <v>57881</v>
      </c>
      <c r="N27" s="4">
        <v>390.66</v>
      </c>
      <c r="O27" s="4">
        <v>-0.03</v>
      </c>
      <c r="P27" s="4">
        <v>-0.11</v>
      </c>
      <c r="Q27" s="4">
        <v>-0.4</v>
      </c>
      <c r="R27" s="4">
        <v>0.44</v>
      </c>
      <c r="S27" s="4">
        <v>917</v>
      </c>
      <c r="T27" s="4">
        <v>35</v>
      </c>
      <c r="U27" s="4">
        <v>-56</v>
      </c>
      <c r="V27" s="4">
        <v>1.46</v>
      </c>
      <c r="W27" s="4">
        <v>0.78</v>
      </c>
      <c r="X27" s="4">
        <v>55065</v>
      </c>
      <c r="Y27" s="7" t="s">
        <v>45</v>
      </c>
    </row>
    <row r="28" ht="14" spans="1:25">
      <c r="A28" s="4"/>
      <c r="B28" s="4"/>
      <c r="C28" s="2" t="s">
        <v>32</v>
      </c>
      <c r="D28" s="4">
        <v>200</v>
      </c>
      <c r="E28" s="5">
        <v>42472</v>
      </c>
      <c r="F28" s="5">
        <v>46124</v>
      </c>
      <c r="G28" s="4">
        <f t="shared" si="3"/>
        <v>3652</v>
      </c>
      <c r="H28" s="4">
        <v>9000</v>
      </c>
      <c r="I28" s="4">
        <v>3000</v>
      </c>
      <c r="J28" s="4">
        <v>-3711</v>
      </c>
      <c r="K28" s="4">
        <v>-3.09</v>
      </c>
      <c r="L28" s="4">
        <v>-3.63</v>
      </c>
      <c r="M28" s="4">
        <v>32228</v>
      </c>
      <c r="N28" s="4">
        <v>164.58</v>
      </c>
      <c r="O28" s="4">
        <v>-0.01</v>
      </c>
      <c r="P28" s="4">
        <v>-0.02</v>
      </c>
      <c r="Q28" s="8">
        <v>-0.08</v>
      </c>
      <c r="R28" s="4">
        <v>0.15</v>
      </c>
      <c r="S28" s="4">
        <v>94</v>
      </c>
      <c r="T28" s="4">
        <v>39</v>
      </c>
      <c r="U28" s="4">
        <v>-39</v>
      </c>
      <c r="V28" s="4">
        <v>1.47</v>
      </c>
      <c r="W28" s="4">
        <v>0.95</v>
      </c>
      <c r="X28" s="4">
        <v>24646</v>
      </c>
      <c r="Y28" s="6" t="s">
        <v>44</v>
      </c>
    </row>
    <row r="29" ht="14" spans="1:25">
      <c r="A29" s="4"/>
      <c r="B29" s="4" t="s">
        <v>34</v>
      </c>
      <c r="C29" s="4" t="s">
        <v>27</v>
      </c>
      <c r="D29" s="4">
        <v>20</v>
      </c>
      <c r="E29" s="5">
        <v>42472</v>
      </c>
      <c r="F29" s="5">
        <v>46124</v>
      </c>
      <c r="G29" s="4">
        <f t="shared" si="3"/>
        <v>3652</v>
      </c>
      <c r="H29" s="4">
        <v>9000</v>
      </c>
      <c r="I29" s="4">
        <v>3000</v>
      </c>
      <c r="J29" s="4">
        <v>8112</v>
      </c>
      <c r="K29" s="4">
        <v>6.76</v>
      </c>
      <c r="L29" s="4">
        <v>5.3</v>
      </c>
      <c r="M29" s="4">
        <v>16127</v>
      </c>
      <c r="N29" s="4">
        <v>69.86</v>
      </c>
      <c r="O29" s="4">
        <v>0.13</v>
      </c>
      <c r="P29" s="4">
        <v>0.1</v>
      </c>
      <c r="Q29" s="4">
        <v>0.19</v>
      </c>
      <c r="R29" s="4">
        <v>0.11</v>
      </c>
      <c r="S29" s="4">
        <v>94</v>
      </c>
      <c r="T29" s="4">
        <v>39</v>
      </c>
      <c r="U29" s="4">
        <v>86</v>
      </c>
      <c r="V29" s="4">
        <v>1.72</v>
      </c>
      <c r="W29" s="4">
        <v>1.12</v>
      </c>
      <c r="X29" s="4">
        <v>5043</v>
      </c>
      <c r="Y29" s="6" t="s">
        <v>44</v>
      </c>
    </row>
    <row r="30" ht="14" spans="1:25">
      <c r="A30" s="4"/>
      <c r="B30" s="4"/>
      <c r="C30" s="2" t="s">
        <v>29</v>
      </c>
      <c r="D30" s="4">
        <v>20</v>
      </c>
      <c r="E30" s="5">
        <v>42472</v>
      </c>
      <c r="F30" s="5">
        <v>46124</v>
      </c>
      <c r="G30" s="4">
        <f t="shared" si="3"/>
        <v>3652</v>
      </c>
      <c r="H30" s="4">
        <v>9000</v>
      </c>
      <c r="I30" s="4">
        <v>3000</v>
      </c>
      <c r="J30" s="4">
        <v>-24786</v>
      </c>
      <c r="K30" s="4">
        <v>-20.65</v>
      </c>
      <c r="L30" s="4">
        <v>-100</v>
      </c>
      <c r="M30" s="4">
        <v>36938</v>
      </c>
      <c r="N30" s="4">
        <v>205.44</v>
      </c>
      <c r="O30" s="4">
        <v>-0.04</v>
      </c>
      <c r="P30" s="4">
        <v>-0.1</v>
      </c>
      <c r="Q30" s="4">
        <v>-0.44</v>
      </c>
      <c r="R30" s="4">
        <v>0.33</v>
      </c>
      <c r="S30" s="4">
        <v>603</v>
      </c>
      <c r="T30" s="4">
        <v>36</v>
      </c>
      <c r="U30" s="4">
        <v>-41</v>
      </c>
      <c r="V30" s="4">
        <v>1.54</v>
      </c>
      <c r="W30" s="4">
        <v>0.86</v>
      </c>
      <c r="X30" s="4">
        <v>30958</v>
      </c>
      <c r="Y30" s="6" t="s">
        <v>45</v>
      </c>
    </row>
    <row r="31" ht="14" spans="1:25">
      <c r="A31" s="4"/>
      <c r="B31" s="4"/>
      <c r="C31" s="2" t="s">
        <v>29</v>
      </c>
      <c r="D31" s="4">
        <v>100</v>
      </c>
      <c r="E31" s="5">
        <v>42472</v>
      </c>
      <c r="F31" s="5">
        <v>46124</v>
      </c>
      <c r="G31" s="4">
        <f t="shared" si="3"/>
        <v>3652</v>
      </c>
      <c r="H31" s="4">
        <v>9000</v>
      </c>
      <c r="I31" s="4">
        <v>3000</v>
      </c>
      <c r="J31" s="4">
        <v>224</v>
      </c>
      <c r="K31" s="4">
        <v>0.19</v>
      </c>
      <c r="L31" s="4">
        <v>0.18</v>
      </c>
      <c r="M31" s="4">
        <v>24020</v>
      </c>
      <c r="N31" s="4">
        <v>121.98</v>
      </c>
      <c r="O31" s="4">
        <v>0</v>
      </c>
      <c r="P31" s="4">
        <v>0</v>
      </c>
      <c r="Q31" s="4">
        <v>0</v>
      </c>
      <c r="R31" s="4">
        <v>0.07</v>
      </c>
      <c r="S31" s="4">
        <v>122</v>
      </c>
      <c r="T31" s="4">
        <v>38</v>
      </c>
      <c r="U31" s="4">
        <v>1.83</v>
      </c>
      <c r="V31" s="4">
        <v>1.66</v>
      </c>
      <c r="W31" s="8">
        <v>1</v>
      </c>
      <c r="X31" s="4">
        <v>16328</v>
      </c>
      <c r="Y31" s="6" t="s">
        <v>44</v>
      </c>
    </row>
    <row r="32" ht="14" spans="1:25">
      <c r="A32" s="4"/>
      <c r="B32" s="4"/>
      <c r="C32" s="2" t="s">
        <v>32</v>
      </c>
      <c r="D32" s="4">
        <v>20</v>
      </c>
      <c r="E32" s="5">
        <v>42472</v>
      </c>
      <c r="F32" s="5">
        <v>46124</v>
      </c>
      <c r="G32" s="4">
        <f t="shared" si="3"/>
        <v>3652</v>
      </c>
      <c r="H32" s="4">
        <v>9000</v>
      </c>
      <c r="I32" s="4">
        <v>3000</v>
      </c>
      <c r="J32" s="4">
        <v>-85532</v>
      </c>
      <c r="K32" s="4">
        <v>-71.26</v>
      </c>
      <c r="L32" s="4">
        <v>-100</v>
      </c>
      <c r="M32" s="4">
        <v>-92424</v>
      </c>
      <c r="N32" s="4">
        <v>575.08</v>
      </c>
      <c r="O32" s="4">
        <v>-0.03</v>
      </c>
      <c r="P32" s="4">
        <v>-0.12</v>
      </c>
      <c r="Q32" s="4">
        <v>-0.53</v>
      </c>
      <c r="R32" s="4">
        <v>0.34</v>
      </c>
      <c r="S32" s="4">
        <v>1213</v>
      </c>
      <c r="T32" s="4">
        <v>32</v>
      </c>
      <c r="U32" s="4">
        <v>-71</v>
      </c>
      <c r="V32" s="4">
        <v>1.5</v>
      </c>
      <c r="W32" s="4">
        <v>0.69</v>
      </c>
      <c r="X32" s="4">
        <v>88352</v>
      </c>
      <c r="Y32" s="6" t="s">
        <v>45</v>
      </c>
    </row>
    <row r="33" ht="14" spans="1:25">
      <c r="A33" s="4"/>
      <c r="B33" s="4"/>
      <c r="C33" s="2" t="s">
        <v>32</v>
      </c>
      <c r="D33" s="4">
        <v>200</v>
      </c>
      <c r="E33" s="5">
        <v>42472</v>
      </c>
      <c r="F33" s="5">
        <v>46124</v>
      </c>
      <c r="G33" s="4">
        <f t="shared" si="3"/>
        <v>3652</v>
      </c>
      <c r="H33" s="4">
        <v>9000</v>
      </c>
      <c r="I33" s="4">
        <v>3000</v>
      </c>
      <c r="J33" s="4">
        <v>6083</v>
      </c>
      <c r="K33" s="8">
        <v>5.07</v>
      </c>
      <c r="L33" s="4">
        <v>4.19</v>
      </c>
      <c r="M33" s="4">
        <v>25165</v>
      </c>
      <c r="N33" s="4">
        <v>92.67</v>
      </c>
      <c r="O33" s="4">
        <v>0.06</v>
      </c>
      <c r="P33" s="4">
        <v>0.05</v>
      </c>
      <c r="Q33" s="4">
        <v>0.15</v>
      </c>
      <c r="R33" s="4">
        <v>0.02</v>
      </c>
      <c r="S33" s="4">
        <v>114</v>
      </c>
      <c r="T33" s="4">
        <v>41</v>
      </c>
      <c r="U33" s="4">
        <v>53</v>
      </c>
      <c r="V33" s="4">
        <v>1.54</v>
      </c>
      <c r="W33" s="4">
        <v>1.08</v>
      </c>
      <c r="X33" s="4">
        <v>10009</v>
      </c>
      <c r="Y33" s="6" t="s">
        <v>44</v>
      </c>
    </row>
  </sheetData>
  <mergeCells count="9">
    <mergeCell ref="A2:A11"/>
    <mergeCell ref="A13:A22"/>
    <mergeCell ref="A24:A33"/>
    <mergeCell ref="B2:B6"/>
    <mergeCell ref="B7:B11"/>
    <mergeCell ref="B13:B17"/>
    <mergeCell ref="B18:B22"/>
    <mergeCell ref="B24:B28"/>
    <mergeCell ref="B29:B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 chuan</dc:creator>
  <cp:lastModifiedBy>杜川</cp:lastModifiedBy>
  <dcterms:created xsi:type="dcterms:W3CDTF">2026-04-14T00:11:00Z</dcterms:created>
  <dcterms:modified xsi:type="dcterms:W3CDTF">2026-04-16T17:35:13Z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94FFA03BD5A69BE951ADE0695F8DB4DA_43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