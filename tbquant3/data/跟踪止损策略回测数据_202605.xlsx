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 activeTab="1"/>
  </bookViews>
  <sheets>
    <sheet name="说明" sheetId="2" r:id="rId1"/>
    <sheet name="20sK线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<sst xmlns="http://schemas.openxmlformats.org/spreadsheetml/2006/main" count="65" uniqueCount="43">
  <si>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1. K线为10S</t>
  </si>
  <si>
    <r>
      <rPr>
        <b/>
        <sz val="9"/>
        <color rgb="FF000000"/>
        <rFont val="微软雅黑"/>
        <charset val="134"/>
      </rPr>
      <t>商品</t>
    </r>
  </si>
  <si>
    <t>止损%</t>
  </si>
  <si>
    <t>策略</t>
  </si>
  <si>
    <r>
      <rPr>
        <b/>
        <sz val="9"/>
        <color rgb="FF000000"/>
        <rFont val="微软雅黑"/>
        <charset val="134"/>
      </rPr>
      <t>开始时间</t>
    </r>
  </si>
  <si>
    <r>
      <rPr>
        <b/>
        <sz val="9"/>
        <color rgb="FF000000"/>
        <rFont val="微软雅黑"/>
        <charset val="134"/>
      </rPr>
      <t>结束时间</t>
    </r>
  </si>
  <si>
    <r>
      <rPr>
        <b/>
        <sz val="9"/>
        <color rgb="FF000000"/>
        <rFont val="微软雅黑"/>
        <charset val="134"/>
      </rPr>
      <t>时长</t>
    </r>
  </si>
  <si>
    <r>
      <rPr>
        <b/>
        <sz val="9"/>
        <color rgb="FF000000"/>
        <rFont val="微软雅黑"/>
        <charset val="134"/>
      </rPr>
      <t>一手本金</t>
    </r>
  </si>
  <si>
    <r>
      <rPr>
        <b/>
        <sz val="9"/>
        <color rgb="FF000000"/>
        <rFont val="微软雅黑"/>
        <charset val="134"/>
      </rPr>
      <t>一手保证金</t>
    </r>
  </si>
  <si>
    <r>
      <rPr>
        <b/>
        <sz val="9"/>
        <color rgb="FF000000"/>
        <rFont val="微软雅黑"/>
        <charset val="134"/>
      </rPr>
      <t>净利润</t>
    </r>
  </si>
  <si>
    <r>
      <rPr>
        <b/>
        <sz val="9"/>
        <color rgb="FF000000"/>
        <rFont val="微软雅黑"/>
        <charset val="134"/>
      </rPr>
      <t>年化收益率</t>
    </r>
  </si>
  <si>
    <r>
      <rPr>
        <b/>
        <sz val="9"/>
        <color rgb="FF000000"/>
        <rFont val="微软雅黑"/>
        <charset val="134"/>
      </rPr>
      <t>年化收益率</t>
    </r>
    <r>
      <rPr>
        <b/>
        <sz val="9"/>
        <color rgb="FF000000"/>
        <rFont val="Consolas"/>
        <charset val="134"/>
      </rPr>
      <t>(</t>
    </r>
    <r>
      <rPr>
        <b/>
        <sz val="9"/>
        <color rgb="FF000000"/>
        <rFont val="微软雅黑"/>
        <charset val="134"/>
      </rPr>
      <t>复利</t>
    </r>
    <r>
      <rPr>
        <b/>
        <sz val="9"/>
        <color rgb="FF000000"/>
        <rFont val="Consolas"/>
        <charset val="134"/>
      </rPr>
      <t>)</t>
    </r>
  </si>
  <si>
    <r>
      <rPr>
        <b/>
        <sz val="9"/>
        <color rgb="FF000000"/>
        <rFont val="微软雅黑"/>
        <charset val="134"/>
      </rPr>
      <t>最大回撤值</t>
    </r>
  </si>
  <si>
    <r>
      <rPr>
        <b/>
        <sz val="9"/>
        <color rgb="FF000000"/>
        <rFont val="微软雅黑"/>
        <charset val="134"/>
      </rPr>
      <t>最大回撤率</t>
    </r>
  </si>
  <si>
    <r>
      <rPr>
        <b/>
        <sz val="9"/>
        <color rgb="FF000000"/>
        <rFont val="微软雅黑"/>
        <charset val="134"/>
      </rPr>
      <t>夏普比率</t>
    </r>
  </si>
  <si>
    <r>
      <rPr>
        <b/>
        <sz val="9"/>
        <color rgb="FF000000"/>
        <rFont val="微软雅黑"/>
        <charset val="134"/>
      </rPr>
      <t>收益风险比</t>
    </r>
  </si>
  <si>
    <r>
      <rPr>
        <b/>
        <sz val="9"/>
        <color rgb="FF000000"/>
        <rFont val="微软雅黑"/>
        <charset val="134"/>
      </rPr>
      <t>调整收益风险比</t>
    </r>
  </si>
  <si>
    <r>
      <rPr>
        <b/>
        <sz val="9"/>
        <color rgb="FF000000"/>
        <rFont val="Consolas"/>
        <charset val="134"/>
      </rPr>
      <t>R</t>
    </r>
    <r>
      <rPr>
        <b/>
        <sz val="9"/>
        <color rgb="FF000000"/>
        <rFont val="微软雅黑"/>
        <charset val="134"/>
      </rPr>
      <t>平方</t>
    </r>
  </si>
  <si>
    <r>
      <rPr>
        <b/>
        <sz val="9"/>
        <color rgb="FF000000"/>
        <rFont val="微软雅黑"/>
        <charset val="134"/>
      </rPr>
      <t>交易次数</t>
    </r>
  </si>
  <si>
    <r>
      <rPr>
        <b/>
        <sz val="9"/>
        <color rgb="FF000000"/>
        <rFont val="微软雅黑"/>
        <charset val="134"/>
      </rPr>
      <t>胜率</t>
    </r>
  </si>
  <si>
    <r>
      <rPr>
        <b/>
        <sz val="9"/>
        <color rgb="FF000000"/>
        <rFont val="微软雅黑"/>
        <charset val="134"/>
      </rPr>
      <t>平均利润</t>
    </r>
  </si>
  <si>
    <r>
      <rPr>
        <b/>
        <sz val="9"/>
        <color rgb="FF000000"/>
        <rFont val="微软雅黑"/>
        <charset val="134"/>
      </rPr>
      <t>盈亏比</t>
    </r>
  </si>
  <si>
    <r>
      <rPr>
        <b/>
        <sz val="9"/>
        <color rgb="FF000000"/>
        <rFont val="微软雅黑"/>
        <charset val="134"/>
      </rPr>
      <t>盈利因子</t>
    </r>
  </si>
  <si>
    <r>
      <rPr>
        <b/>
        <sz val="9"/>
        <color rgb="FF000000"/>
        <rFont val="微软雅黑"/>
        <charset val="134"/>
      </rPr>
      <t>最大浮动亏损</t>
    </r>
  </si>
  <si>
    <r>
      <rPr>
        <b/>
        <sz val="9"/>
        <color rgb="FF000000"/>
        <rFont val="微软雅黑"/>
        <charset val="134"/>
      </rPr>
      <t>说明</t>
    </r>
  </si>
  <si>
    <t>SA</t>
  </si>
  <si>
    <t>TRAILING_STOP</t>
  </si>
  <si>
    <t>T_S_WITH_TIME</t>
  </si>
  <si>
    <t>交易次数多，手续费让收益曲线一直下降</t>
  </si>
  <si>
    <t>FG</t>
  </si>
  <si>
    <t>收益最高的为4.6,净利润4818，但交易次数4次。选择2.5为了对比</t>
  </si>
  <si>
    <t>m</t>
  </si>
  <si>
    <t>竟然有收益，交易次数多，平均利润低</t>
  </si>
  <si>
    <t>rm</t>
  </si>
  <si>
    <t>ma</t>
  </si>
  <si>
    <t>这么好的趋势，竟然收益很差</t>
  </si>
  <si>
    <t>UR</t>
  </si>
  <si>
    <t>RB</t>
  </si>
  <si>
    <t>pvc</t>
  </si>
  <si>
    <t>pta</t>
  </si>
  <si>
    <t>L</t>
  </si>
  <si>
    <t>jd</t>
  </si>
  <si>
    <t>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</si>
</sst>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sz val="9"/>
      <color theme="1"/>
      <name val="Consolas"/>
      <charset val="134"/>
    </font>
    <font>
      <sz val="9"/>
      <color theme="1"/>
      <name val="宋体"/>
      <charset val="134"/>
    </font>
    <font>
      <b/>
      <sz val="9"/>
      <color rgb="FF000000"/>
      <name val="Consolas"/>
      <charset val="134"/>
    </font>
    <font>
      <b/>
      <sz val="9"/>
      <color rgb="FF000000"/>
      <name val="微软雅黑"/>
      <charset val="134"/>
    </font>
    <font>
      <sz val="9"/>
      <color rgb="FF000000"/>
      <name val="Consolas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>
      <alignment horizontal="center" vertical="center" wrapText="1"/>
    </xf>
    <xf numFmtId="58" fontId="5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>
      <alignment vertical="center" wrapText="1"/>
    </xf>
    <xf numFmtId="3" fontId="5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1" sqref="F11"/>
    </sheetView>
  </sheetViews>
  <sheetFormatPr defaultColWidth="8.61261261261261" defaultRowHeight="14.1"/>
  <cols>
    <col min="1" max="1" width="42.6216216216216" customWidth="1"/>
  </cols>
  <sheetData>
    <row r="1" spans="1:1">
      <c r="A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tabSelected="1" workbookViewId="0">
      <pane ySplit="1" topLeftCell="A2" activePane="bottomLeft" state="frozen"/>
      <selection/>
      <selection pane="bottomLeft" activeCell="K19" sqref="K19"/>
    </sheetView>
  </sheetViews>
  <sheetFormatPr defaultColWidth="9.74774774774775" defaultRowHeight="11.55"/>
  <cols>
    <col min="1" max="1" width="7.94594594594595" style="2" customWidth="1"/>
    <col min="2" max="2" width="8.71171171171171" style="3" customWidth="1"/>
    <col min="3" max="3" width="12.6666666666667" style="2" customWidth="1"/>
    <col min="4" max="23" width="9.74774774774775" style="2" customWidth="1"/>
    <col min="24" max="24" width="49.3783783783784" style="4" customWidth="1"/>
    <col min="25" max="16383" width="9.74774774774775" style="2" customWidth="1"/>
    <col min="16384" max="16384" width="9.74774774774775" style="2"/>
  </cols>
  <sheetData>
    <row r="1" s="1" customFormat="1" ht="25.7" spans="1:24">
      <c r="A1" s="5" t="s">
        <v>1</v>
      </c>
      <c r="B1" s="6" t="s">
        <v>2</v>
      </c>
      <c r="C1" s="6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</row>
    <row r="2" s="2" customFormat="1" spans="1:24">
      <c r="A2" s="7" t="s">
        <v>25</v>
      </c>
      <c r="B2" s="7">
        <v>3.2</v>
      </c>
      <c r="C2" s="8" t="s">
        <v>26</v>
      </c>
      <c r="D2" s="9">
        <v>46085</v>
      </c>
      <c r="E2" s="9">
        <v>46142</v>
      </c>
      <c r="F2" s="7">
        <f>DATEDIF(D2,E2,"d")</f>
        <v>57</v>
      </c>
      <c r="G2" s="7">
        <v>12000</v>
      </c>
      <c r="H2" s="7">
        <v>4000</v>
      </c>
      <c r="I2" s="7">
        <v>3617</v>
      </c>
      <c r="J2" s="7">
        <v>22.61</v>
      </c>
      <c r="K2" s="7">
        <v>22.61</v>
      </c>
      <c r="L2" s="7">
        <v>1500</v>
      </c>
      <c r="M2" s="7">
        <v>8.07</v>
      </c>
      <c r="N2" s="7">
        <v>0.69</v>
      </c>
      <c r="O2" s="7">
        <v>2.8</v>
      </c>
      <c r="P2" s="7">
        <v>3.85</v>
      </c>
      <c r="Q2" s="7">
        <v>0.1</v>
      </c>
      <c r="R2" s="7">
        <v>7</v>
      </c>
      <c r="S2" s="7">
        <v>71</v>
      </c>
      <c r="T2" s="7">
        <v>517</v>
      </c>
      <c r="U2" s="7">
        <v>6.95</v>
      </c>
      <c r="V2" s="7">
        <v>17.39</v>
      </c>
      <c r="W2" s="7">
        <v>560</v>
      </c>
      <c r="X2" s="10"/>
    </row>
    <row r="3" s="2" customFormat="1" spans="1:24">
      <c r="A3" s="7"/>
      <c r="B3" s="7">
        <v>1.8</v>
      </c>
      <c r="C3" s="7" t="s">
        <v>27</v>
      </c>
      <c r="D3" s="9">
        <v>46085</v>
      </c>
      <c r="E3" s="9">
        <v>46142</v>
      </c>
      <c r="F3" s="7">
        <f>DATEDIF(D3,E3,"d")</f>
        <v>57</v>
      </c>
      <c r="G3" s="7">
        <v>12000</v>
      </c>
      <c r="H3" s="7">
        <v>4000</v>
      </c>
      <c r="I3" s="7">
        <v>5403</v>
      </c>
      <c r="J3" s="7">
        <v>-33.77</v>
      </c>
      <c r="K3" s="7">
        <v>-33.77</v>
      </c>
      <c r="L3" s="7">
        <v>5843</v>
      </c>
      <c r="M3" s="7">
        <v>36.25</v>
      </c>
      <c r="N3" s="7">
        <v>-0.8</v>
      </c>
      <c r="O3" s="7">
        <v>-0.93</v>
      </c>
      <c r="P3" s="7">
        <v>-3.69</v>
      </c>
      <c r="Q3" s="7">
        <v>0.12</v>
      </c>
      <c r="R3" s="7">
        <v>96</v>
      </c>
      <c r="S3" s="7">
        <v>38</v>
      </c>
      <c r="T3" s="7">
        <v>-56</v>
      </c>
      <c r="U3" s="7">
        <v>0.81</v>
      </c>
      <c r="V3" s="7">
        <v>0.49</v>
      </c>
      <c r="W3" s="7">
        <v>5722</v>
      </c>
      <c r="X3" s="11" t="s">
        <v>28</v>
      </c>
    </row>
    <row r="4" s="2" customFormat="1" spans="1:24">
      <c r="A4" s="7"/>
      <c r="B4" s="7"/>
      <c r="C4" s="7"/>
      <c r="D4" s="9"/>
      <c r="E4" s="9"/>
      <c r="F4" s="7"/>
      <c r="G4" s="7"/>
      <c r="H4" s="7"/>
      <c r="I4" s="7"/>
      <c r="J4" s="1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10"/>
    </row>
    <row r="5" s="2" customFormat="1" ht="12" customHeight="1" spans="1:24">
      <c r="A5" s="7" t="s">
        <v>29</v>
      </c>
      <c r="B5" s="3">
        <v>2.5</v>
      </c>
      <c r="C5" s="8" t="s">
        <v>26</v>
      </c>
      <c r="D5" s="9">
        <v>46085</v>
      </c>
      <c r="E5" s="9">
        <v>46142</v>
      </c>
      <c r="F5" s="7">
        <f>DATEDIF(D5,E5,"d")</f>
        <v>57</v>
      </c>
      <c r="G5" s="7">
        <v>12000</v>
      </c>
      <c r="H5" s="7">
        <v>4000</v>
      </c>
      <c r="I5" s="7">
        <v>2654</v>
      </c>
      <c r="J5" s="7">
        <v>16.59</v>
      </c>
      <c r="K5" s="7">
        <v>16.59</v>
      </c>
      <c r="L5" s="7">
        <v>3183</v>
      </c>
      <c r="M5" s="7">
        <v>14.83</v>
      </c>
      <c r="N5" s="7">
        <v>0.47</v>
      </c>
      <c r="O5" s="7">
        <v>1.12</v>
      </c>
      <c r="P5" s="7">
        <v>2.45</v>
      </c>
      <c r="Q5" s="7">
        <v>0.01</v>
      </c>
      <c r="R5" s="7">
        <v>16</v>
      </c>
      <c r="S5" s="7">
        <v>44</v>
      </c>
      <c r="T5" s="7">
        <v>166</v>
      </c>
      <c r="U5" s="7">
        <v>2.27</v>
      </c>
      <c r="V5" s="7">
        <v>1.76</v>
      </c>
      <c r="W5" s="7">
        <v>240</v>
      </c>
      <c r="X5" s="11" t="s">
        <v>30</v>
      </c>
    </row>
    <row r="6" s="2" customFormat="1" spans="1:24">
      <c r="A6" s="7"/>
      <c r="B6" s="3">
        <v>2.5</v>
      </c>
      <c r="C6" s="7" t="s">
        <v>27</v>
      </c>
      <c r="D6" s="9">
        <v>46085</v>
      </c>
      <c r="E6" s="9">
        <v>46142</v>
      </c>
      <c r="F6" s="7">
        <f>DATEDIF(D6,E6,"d")</f>
        <v>57</v>
      </c>
      <c r="G6" s="7">
        <v>12000</v>
      </c>
      <c r="H6" s="7">
        <v>4000</v>
      </c>
      <c r="I6" s="7">
        <v>-377</v>
      </c>
      <c r="J6" s="7">
        <v>-2.35</v>
      </c>
      <c r="K6" s="7">
        <v>-2.35</v>
      </c>
      <c r="L6" s="7">
        <v>2273</v>
      </c>
      <c r="M6" s="7">
        <v>12.9</v>
      </c>
      <c r="N6" s="7">
        <v>-0.09</v>
      </c>
      <c r="O6" s="7">
        <v>-0.18</v>
      </c>
      <c r="P6" s="7">
        <v>-0.43</v>
      </c>
      <c r="Q6" s="7">
        <v>0.12</v>
      </c>
      <c r="R6" s="7">
        <v>82</v>
      </c>
      <c r="S6" s="7">
        <v>39</v>
      </c>
      <c r="T6" s="7">
        <v>-5</v>
      </c>
      <c r="U6" s="7">
        <v>1.47</v>
      </c>
      <c r="V6" s="7">
        <v>0.94</v>
      </c>
      <c r="W6" s="7">
        <v>821</v>
      </c>
      <c r="X6" s="11"/>
    </row>
    <row r="8" s="2" customFormat="1" spans="1:24">
      <c r="A8" s="7" t="s">
        <v>31</v>
      </c>
      <c r="B8" s="7">
        <v>2.9</v>
      </c>
      <c r="C8" s="8" t="s">
        <v>26</v>
      </c>
      <c r="D8" s="9">
        <v>46085</v>
      </c>
      <c r="E8" s="9">
        <v>46142</v>
      </c>
      <c r="F8" s="7">
        <f>DATEDIF(D8,E8,"d")</f>
        <v>57</v>
      </c>
      <c r="G8" s="7">
        <v>9000</v>
      </c>
      <c r="H8" s="7">
        <v>3000</v>
      </c>
      <c r="I8" s="7">
        <v>3747</v>
      </c>
      <c r="J8" s="7">
        <v>31.23</v>
      </c>
      <c r="K8" s="7">
        <v>31.23</v>
      </c>
      <c r="L8" s="7">
        <v>1351</v>
      </c>
      <c r="M8" s="7">
        <v>9.56</v>
      </c>
      <c r="N8" s="7">
        <v>0.97</v>
      </c>
      <c r="O8" s="7">
        <v>3.27</v>
      </c>
      <c r="P8" s="7">
        <v>4.91</v>
      </c>
      <c r="Q8" s="7">
        <v>0.13</v>
      </c>
      <c r="R8" s="7">
        <v>5</v>
      </c>
      <c r="S8" s="7">
        <v>60</v>
      </c>
      <c r="T8" s="7">
        <v>750</v>
      </c>
      <c r="U8" s="7">
        <v>3.75</v>
      </c>
      <c r="V8" s="7">
        <v>5.62</v>
      </c>
      <c r="W8" s="7">
        <v>330</v>
      </c>
      <c r="X8" s="4"/>
    </row>
    <row r="9" s="2" customFormat="1" spans="1:24">
      <c r="A9" s="7"/>
      <c r="B9" s="3">
        <v>1</v>
      </c>
      <c r="C9" s="7" t="s">
        <v>27</v>
      </c>
      <c r="D9" s="9">
        <v>46085</v>
      </c>
      <c r="E9" s="9">
        <v>46142</v>
      </c>
      <c r="F9" s="7">
        <f>DATEDIF(D9,E9,"d")</f>
        <v>57</v>
      </c>
      <c r="G9" s="7">
        <v>9000</v>
      </c>
      <c r="H9" s="7">
        <v>3000</v>
      </c>
      <c r="I9" s="7">
        <v>2021</v>
      </c>
      <c r="J9" s="7">
        <v>16.85</v>
      </c>
      <c r="K9" s="7">
        <v>16.85</v>
      </c>
      <c r="L9" s="7">
        <v>1209</v>
      </c>
      <c r="M9" s="7">
        <v>8.04</v>
      </c>
      <c r="N9" s="7">
        <v>0.51</v>
      </c>
      <c r="O9" s="7">
        <v>2.09</v>
      </c>
      <c r="P9" s="7">
        <v>3.21</v>
      </c>
      <c r="Q9" s="7">
        <v>0.06</v>
      </c>
      <c r="R9" s="7">
        <v>97</v>
      </c>
      <c r="S9" s="7">
        <v>46</v>
      </c>
      <c r="T9" s="7">
        <v>21</v>
      </c>
      <c r="U9" s="7">
        <v>1.6</v>
      </c>
      <c r="V9" s="7">
        <v>1.39</v>
      </c>
      <c r="W9" s="7">
        <v>623</v>
      </c>
      <c r="X9" s="4" t="s">
        <v>32</v>
      </c>
    </row>
    <row r="10" s="2" customFormat="1" spans="1:24">
      <c r="A10" s="13"/>
      <c r="B10" s="7"/>
      <c r="C10" s="14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"/>
    </row>
    <row r="11" s="2" customFormat="1" spans="1:24">
      <c r="A11" s="7" t="s">
        <v>33</v>
      </c>
      <c r="B11" s="3">
        <v>3.1</v>
      </c>
      <c r="C11" s="8" t="s">
        <v>26</v>
      </c>
      <c r="D11" s="9">
        <v>46085</v>
      </c>
      <c r="E11" s="9">
        <v>46142</v>
      </c>
      <c r="F11" s="7">
        <f>DATEDIF(D11,E11,"d")</f>
        <v>57</v>
      </c>
      <c r="G11" s="7">
        <v>9000</v>
      </c>
      <c r="H11" s="7">
        <v>3000</v>
      </c>
      <c r="I11" s="7">
        <v>3647</v>
      </c>
      <c r="J11" s="7">
        <v>30.39</v>
      </c>
      <c r="K11" s="7">
        <v>30.39</v>
      </c>
      <c r="L11" s="7">
        <v>1251</v>
      </c>
      <c r="M11" s="7">
        <v>9.68</v>
      </c>
      <c r="N11" s="7">
        <v>0.95</v>
      </c>
      <c r="O11" s="7">
        <v>3.14</v>
      </c>
      <c r="P11" s="7">
        <v>4.75</v>
      </c>
      <c r="Q11" s="7">
        <v>0.18</v>
      </c>
      <c r="R11" s="7">
        <v>6</v>
      </c>
      <c r="S11" s="7">
        <v>50</v>
      </c>
      <c r="T11" s="7">
        <v>608</v>
      </c>
      <c r="U11" s="7">
        <v>5.5</v>
      </c>
      <c r="V11" s="7">
        <v>5.5</v>
      </c>
      <c r="W11" s="7">
        <v>511</v>
      </c>
      <c r="X11" s="4"/>
    </row>
    <row r="12" s="2" customFormat="1" spans="1:24">
      <c r="A12" s="7"/>
      <c r="B12" s="3">
        <v>1.1</v>
      </c>
      <c r="C12" s="7" t="s">
        <v>27</v>
      </c>
      <c r="D12" s="9">
        <v>46085</v>
      </c>
      <c r="E12" s="9">
        <v>46142</v>
      </c>
      <c r="F12" s="7">
        <f>DATEDIF(D12,E12,"d")</f>
        <v>57</v>
      </c>
      <c r="G12" s="7">
        <v>9000</v>
      </c>
      <c r="H12" s="7">
        <v>3000</v>
      </c>
      <c r="I12" s="7">
        <v>-1563</v>
      </c>
      <c r="J12" s="7">
        <v>-13.03</v>
      </c>
      <c r="K12" s="7">
        <v>-13.03</v>
      </c>
      <c r="L12" s="7">
        <v>3061</v>
      </c>
      <c r="M12" s="7">
        <v>23.24</v>
      </c>
      <c r="N12" s="7">
        <v>-0.39</v>
      </c>
      <c r="O12" s="7">
        <v>-0.56</v>
      </c>
      <c r="P12" s="7">
        <v>-1.47</v>
      </c>
      <c r="Q12" s="7">
        <v>0.31</v>
      </c>
      <c r="R12" s="7">
        <v>100</v>
      </c>
      <c r="S12" s="7">
        <v>44</v>
      </c>
      <c r="T12" s="7">
        <v>-16</v>
      </c>
      <c r="U12" s="7">
        <v>1</v>
      </c>
      <c r="V12" s="7">
        <v>0.79</v>
      </c>
      <c r="W12" s="7">
        <v>1887</v>
      </c>
      <c r="X12" s="4"/>
    </row>
    <row r="13" s="2" customFormat="1" spans="1:24">
      <c r="A13" s="7"/>
      <c r="B13" s="3"/>
      <c r="C13" s="7"/>
      <c r="D13" s="9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"/>
    </row>
    <row r="14" s="2" customFormat="1" spans="1:24">
      <c r="A14" s="7" t="s">
        <v>34</v>
      </c>
      <c r="B14" s="7">
        <v>3.5</v>
      </c>
      <c r="C14" s="8" t="s">
        <v>26</v>
      </c>
      <c r="D14" s="9">
        <v>46085</v>
      </c>
      <c r="E14" s="9">
        <v>46142</v>
      </c>
      <c r="F14" s="7">
        <f>DATEDIF(D14,E14,"d")</f>
        <v>57</v>
      </c>
      <c r="G14" s="7">
        <v>9000</v>
      </c>
      <c r="H14" s="7">
        <v>3000</v>
      </c>
      <c r="I14" s="7">
        <v>90</v>
      </c>
      <c r="J14" s="7">
        <v>0.75</v>
      </c>
      <c r="K14" s="7">
        <v>0.75</v>
      </c>
      <c r="L14" s="7">
        <v>7855</v>
      </c>
      <c r="M14" s="7">
        <v>42.84</v>
      </c>
      <c r="N14" s="7">
        <v>0</v>
      </c>
      <c r="O14" s="7">
        <v>0.02</v>
      </c>
      <c r="P14" s="7">
        <v>0.02</v>
      </c>
      <c r="Q14" s="7">
        <v>0</v>
      </c>
      <c r="R14" s="7">
        <v>43</v>
      </c>
      <c r="S14" s="7">
        <v>37</v>
      </c>
      <c r="T14" s="7">
        <v>2</v>
      </c>
      <c r="U14" s="7">
        <v>1.7</v>
      </c>
      <c r="V14" s="7">
        <v>1</v>
      </c>
      <c r="W14" s="7">
        <v>2611</v>
      </c>
      <c r="X14" s="4" t="s">
        <v>35</v>
      </c>
    </row>
    <row r="15" s="2" customFormat="1" spans="1:24">
      <c r="A15" s="7"/>
      <c r="B15" s="3">
        <v>1.8</v>
      </c>
      <c r="C15" s="7" t="s">
        <v>27</v>
      </c>
      <c r="D15" s="9">
        <v>46085</v>
      </c>
      <c r="E15" s="9">
        <v>46142</v>
      </c>
      <c r="F15" s="7">
        <f>DATEDIF(D15,E15,"d")</f>
        <v>57</v>
      </c>
      <c r="G15" s="7">
        <v>9000</v>
      </c>
      <c r="H15" s="7">
        <v>3000</v>
      </c>
      <c r="I15" s="7">
        <v>7504</v>
      </c>
      <c r="J15" s="7">
        <v>62.54</v>
      </c>
      <c r="K15" s="7">
        <v>62.54</v>
      </c>
      <c r="L15" s="7">
        <v>4071</v>
      </c>
      <c r="M15" s="7">
        <v>32.91</v>
      </c>
      <c r="N15" s="7">
        <v>0.63</v>
      </c>
      <c r="O15" s="7">
        <v>1.9</v>
      </c>
      <c r="P15" s="7">
        <v>3.32</v>
      </c>
      <c r="Q15" s="7">
        <v>0.39</v>
      </c>
      <c r="R15" s="7">
        <v>153</v>
      </c>
      <c r="S15" s="7">
        <v>44</v>
      </c>
      <c r="T15" s="7">
        <v>49</v>
      </c>
      <c r="U15" s="7">
        <v>1.69</v>
      </c>
      <c r="V15" s="7">
        <v>1.31</v>
      </c>
      <c r="W15" s="7">
        <v>3701</v>
      </c>
      <c r="X15" s="4"/>
    </row>
    <row r="17" s="2" customFormat="1" spans="1:24">
      <c r="A17" s="7" t="s">
        <v>36</v>
      </c>
      <c r="B17" s="7">
        <v>1</v>
      </c>
      <c r="C17" s="8" t="s">
        <v>26</v>
      </c>
      <c r="D17" s="9">
        <v>46085</v>
      </c>
      <c r="E17" s="9">
        <v>46142</v>
      </c>
      <c r="F17" s="7">
        <f>DATEDIF(D17,E17,"d")</f>
        <v>57</v>
      </c>
      <c r="G17" s="7">
        <v>15000</v>
      </c>
      <c r="H17" s="7">
        <v>5000</v>
      </c>
      <c r="I17" s="7">
        <v>3733</v>
      </c>
      <c r="J17" s="7">
        <v>18.66</v>
      </c>
      <c r="K17" s="7">
        <v>18.66</v>
      </c>
      <c r="L17" s="7">
        <v>1784</v>
      </c>
      <c r="M17" s="7">
        <v>7.45</v>
      </c>
      <c r="N17" s="7">
        <v>0.46</v>
      </c>
      <c r="O17" s="7">
        <v>2.5</v>
      </c>
      <c r="P17" s="7">
        <v>2.94</v>
      </c>
      <c r="Q17" s="7">
        <v>0.06</v>
      </c>
      <c r="R17" s="7">
        <v>47</v>
      </c>
      <c r="S17" s="7">
        <v>43</v>
      </c>
      <c r="T17" s="7">
        <v>79</v>
      </c>
      <c r="U17" s="7">
        <v>2.11</v>
      </c>
      <c r="V17" s="7">
        <v>1.56</v>
      </c>
      <c r="W17" s="7">
        <v>783</v>
      </c>
      <c r="X17" s="4"/>
    </row>
    <row r="18" s="2" customFormat="1" spans="1:24">
      <c r="A18" s="7"/>
      <c r="B18" s="3">
        <v>1</v>
      </c>
      <c r="C18" s="7" t="s">
        <v>27</v>
      </c>
      <c r="D18" s="9">
        <v>46085</v>
      </c>
      <c r="E18" s="9">
        <v>46142</v>
      </c>
      <c r="F18" s="7">
        <f>DATEDIF(D18,E18,"d")</f>
        <v>57</v>
      </c>
      <c r="G18" s="7">
        <v>15000</v>
      </c>
      <c r="H18" s="7">
        <v>5000</v>
      </c>
      <c r="I18" s="7">
        <v>-3448</v>
      </c>
      <c r="J18" s="7">
        <v>-17.24</v>
      </c>
      <c r="K18" s="7">
        <v>-17.24</v>
      </c>
      <c r="L18" s="7">
        <v>5161</v>
      </c>
      <c r="M18" s="7">
        <v>25.5</v>
      </c>
      <c r="N18" s="7">
        <v>-0.53</v>
      </c>
      <c r="O18" s="7">
        <v>-0.68</v>
      </c>
      <c r="P18" s="7">
        <v>-1.99</v>
      </c>
      <c r="Q18" s="7">
        <v>0.14</v>
      </c>
      <c r="R18" s="7">
        <v>75</v>
      </c>
      <c r="S18" s="7">
        <v>37</v>
      </c>
      <c r="T18" s="7">
        <v>-46</v>
      </c>
      <c r="U18" s="7">
        <v>1.09</v>
      </c>
      <c r="V18" s="7">
        <v>0.65</v>
      </c>
      <c r="W18" s="7">
        <v>4922</v>
      </c>
      <c r="X18" s="4"/>
    </row>
    <row r="20" s="2" customFormat="1" spans="1:24">
      <c r="A20" s="7" t="s">
        <v>37</v>
      </c>
      <c r="B20" s="7">
        <v>0.7</v>
      </c>
      <c r="C20" s="8" t="s">
        <v>26</v>
      </c>
      <c r="D20" s="9">
        <v>46085</v>
      </c>
      <c r="E20" s="9">
        <v>46142</v>
      </c>
      <c r="F20" s="7">
        <f>DATEDIF(D20,E20,"d")</f>
        <v>57</v>
      </c>
      <c r="G20" s="7">
        <v>12000</v>
      </c>
      <c r="H20" s="7">
        <v>5000</v>
      </c>
      <c r="I20" s="7">
        <v>58</v>
      </c>
      <c r="J20" s="7">
        <v>0.34</v>
      </c>
      <c r="K20" s="7">
        <v>0.34</v>
      </c>
      <c r="L20" s="7">
        <v>927</v>
      </c>
      <c r="M20" s="7">
        <v>5.36</v>
      </c>
      <c r="N20" s="7">
        <v>0.02</v>
      </c>
      <c r="O20" s="7">
        <v>0.06</v>
      </c>
      <c r="P20" s="7">
        <v>0.12</v>
      </c>
      <c r="Q20" s="7">
        <v>0.1</v>
      </c>
      <c r="R20" s="7">
        <v>22</v>
      </c>
      <c r="S20" s="7">
        <v>45</v>
      </c>
      <c r="T20" s="7">
        <v>3</v>
      </c>
      <c r="U20" s="7">
        <v>1.24</v>
      </c>
      <c r="V20" s="7">
        <v>1.03</v>
      </c>
      <c r="W20" s="7">
        <v>639</v>
      </c>
      <c r="X20" s="4"/>
    </row>
    <row r="21" s="2" customFormat="1" spans="1:24">
      <c r="A21" s="7"/>
      <c r="B21" s="3">
        <v>5</v>
      </c>
      <c r="C21" s="7" t="s">
        <v>27</v>
      </c>
      <c r="D21" s="9">
        <v>46085</v>
      </c>
      <c r="E21" s="9">
        <v>46142</v>
      </c>
      <c r="F21" s="7">
        <f>DATEDIF(D21,E21,"d")</f>
        <v>57</v>
      </c>
      <c r="G21" s="7">
        <v>12000</v>
      </c>
      <c r="H21" s="7">
        <v>5000</v>
      </c>
      <c r="I21" s="7">
        <v>-425</v>
      </c>
      <c r="J21" s="7">
        <v>-2.5</v>
      </c>
      <c r="K21" s="7">
        <v>-2.5</v>
      </c>
      <c r="L21" s="7">
        <v>1113</v>
      </c>
      <c r="M21" s="7">
        <v>6.52</v>
      </c>
      <c r="N21" s="7">
        <v>-0.21</v>
      </c>
      <c r="O21" s="7">
        <v>-0.38</v>
      </c>
      <c r="P21" s="7">
        <v>-1.38</v>
      </c>
      <c r="Q21" s="7">
        <v>0.01</v>
      </c>
      <c r="R21" s="7">
        <v>81</v>
      </c>
      <c r="S21" s="7">
        <v>35</v>
      </c>
      <c r="T21" s="7">
        <v>-5</v>
      </c>
      <c r="U21" s="7">
        <v>1.62</v>
      </c>
      <c r="V21" s="7">
        <v>0.86</v>
      </c>
      <c r="W21" s="7">
        <v>1053</v>
      </c>
      <c r="X21" s="4"/>
    </row>
    <row r="24" s="2" customFormat="1" spans="1:24">
      <c r="A24" s="7" t="s">
        <v>38</v>
      </c>
      <c r="B24" s="7">
        <v>1.5</v>
      </c>
      <c r="C24" s="8" t="s">
        <v>26</v>
      </c>
      <c r="D24" s="9">
        <v>46085</v>
      </c>
      <c r="E24" s="9">
        <v>46142</v>
      </c>
      <c r="F24" s="7">
        <f>DATEDIF(D24,E24,"d")</f>
        <v>57</v>
      </c>
      <c r="G24" s="7">
        <v>9000</v>
      </c>
      <c r="H24" s="7">
        <v>3000</v>
      </c>
      <c r="I24" s="7">
        <v>6839</v>
      </c>
      <c r="J24" s="7">
        <v>57</v>
      </c>
      <c r="K24" s="7">
        <v>57</v>
      </c>
      <c r="L24" s="7">
        <v>3535</v>
      </c>
      <c r="M24" s="7">
        <v>21.16</v>
      </c>
      <c r="N24" s="7">
        <v>0.7</v>
      </c>
      <c r="O24" s="7">
        <v>2.69</v>
      </c>
      <c r="P24" s="7">
        <v>4.56</v>
      </c>
      <c r="Q24" s="7">
        <v>0.15</v>
      </c>
      <c r="R24" s="7">
        <v>94</v>
      </c>
      <c r="S24" s="7">
        <v>39</v>
      </c>
      <c r="T24" s="7">
        <v>73</v>
      </c>
      <c r="U24" s="7">
        <v>2.28</v>
      </c>
      <c r="V24" s="7">
        <v>1.48</v>
      </c>
      <c r="W24" s="7">
        <v>846</v>
      </c>
      <c r="X24" s="4"/>
    </row>
    <row r="25" s="2" customFormat="1" spans="1:24">
      <c r="A25" s="7"/>
      <c r="B25" s="7">
        <v>1.5</v>
      </c>
      <c r="C25" s="7" t="s">
        <v>27</v>
      </c>
      <c r="D25" s="9">
        <v>46085</v>
      </c>
      <c r="E25" s="9">
        <v>46142</v>
      </c>
      <c r="F25" s="7">
        <f>DATEDIF(D25,E25,"d")</f>
        <v>57</v>
      </c>
      <c r="G25" s="7">
        <v>9000</v>
      </c>
      <c r="H25" s="7">
        <v>3000</v>
      </c>
      <c r="I25" s="7">
        <v>-318</v>
      </c>
      <c r="J25" s="7">
        <v>-2.65</v>
      </c>
      <c r="K25" s="2">
        <v>-2.65</v>
      </c>
      <c r="L25" s="7">
        <v>3660</v>
      </c>
      <c r="M25" s="7">
        <v>26.51</v>
      </c>
      <c r="N25" s="7">
        <v>-0.03</v>
      </c>
      <c r="O25" s="7">
        <v>-0.1</v>
      </c>
      <c r="P25" s="7">
        <v>-0.17</v>
      </c>
      <c r="Q25" s="7">
        <v>0.09</v>
      </c>
      <c r="R25" s="7">
        <v>139</v>
      </c>
      <c r="S25" s="7">
        <v>40</v>
      </c>
      <c r="T25" s="7">
        <v>-2</v>
      </c>
      <c r="U25" s="7">
        <v>1.46</v>
      </c>
      <c r="V25" s="7">
        <v>0.98</v>
      </c>
      <c r="W25" s="7">
        <v>1856</v>
      </c>
      <c r="X25" s="4"/>
    </row>
    <row r="27" s="2" customFormat="1" spans="1:24">
      <c r="A27" s="7" t="s">
        <v>39</v>
      </c>
      <c r="B27" s="7">
        <v>1.7</v>
      </c>
      <c r="C27" s="8" t="s">
        <v>26</v>
      </c>
      <c r="D27" s="9">
        <v>46085</v>
      </c>
      <c r="E27" s="9">
        <v>46142</v>
      </c>
      <c r="F27" s="7">
        <f>DATEDIF(D27,E27,"d")</f>
        <v>57</v>
      </c>
      <c r="G27" s="7">
        <v>10500</v>
      </c>
      <c r="H27" s="7">
        <v>3400</v>
      </c>
      <c r="I27" s="7">
        <v>15370</v>
      </c>
      <c r="J27" s="7">
        <v>109.78</v>
      </c>
      <c r="K27" s="7">
        <v>109.78</v>
      </c>
      <c r="L27" s="7">
        <v>6922</v>
      </c>
      <c r="M27" s="7">
        <v>26.72</v>
      </c>
      <c r="N27" s="7">
        <v>1.25</v>
      </c>
      <c r="O27" s="7">
        <v>4.11</v>
      </c>
      <c r="P27" s="7">
        <v>8.76</v>
      </c>
      <c r="Q27" s="7">
        <v>0.11</v>
      </c>
      <c r="R27" s="7">
        <v>116</v>
      </c>
      <c r="S27" s="7">
        <v>45</v>
      </c>
      <c r="T27" s="7">
        <v>133</v>
      </c>
      <c r="U27" s="7">
        <v>1.95</v>
      </c>
      <c r="V27" s="7">
        <v>1.58</v>
      </c>
      <c r="W27" s="7">
        <v>10</v>
      </c>
      <c r="X27" s="11"/>
    </row>
    <row r="28" s="2" customFormat="1" spans="1:24">
      <c r="A28" s="7"/>
      <c r="B28" s="3">
        <v>2.1</v>
      </c>
      <c r="C28" s="7" t="s">
        <v>27</v>
      </c>
      <c r="D28" s="9">
        <v>46085</v>
      </c>
      <c r="E28" s="9">
        <v>46142</v>
      </c>
      <c r="F28" s="7">
        <f>DATEDIF(D28,E28,"d")</f>
        <v>57</v>
      </c>
      <c r="G28" s="7">
        <v>10500</v>
      </c>
      <c r="H28" s="7">
        <v>3400</v>
      </c>
      <c r="I28" s="7">
        <v>7329</v>
      </c>
      <c r="J28" s="7">
        <v>52.35</v>
      </c>
      <c r="K28" s="7">
        <v>52.35</v>
      </c>
      <c r="L28" s="7">
        <v>4512</v>
      </c>
      <c r="M28" s="7">
        <v>19.62</v>
      </c>
      <c r="N28" s="7">
        <v>0.65</v>
      </c>
      <c r="O28" s="7">
        <v>2.67</v>
      </c>
      <c r="P28" s="7">
        <v>3.6</v>
      </c>
      <c r="Q28" s="7">
        <v>0.19</v>
      </c>
      <c r="R28" s="7">
        <v>124</v>
      </c>
      <c r="S28" s="7">
        <v>47</v>
      </c>
      <c r="T28" s="7">
        <v>59</v>
      </c>
      <c r="U28" s="7">
        <v>1.5</v>
      </c>
      <c r="V28" s="7">
        <v>1.32</v>
      </c>
      <c r="W28" s="7">
        <v>591</v>
      </c>
      <c r="X28" s="11"/>
    </row>
    <row r="30" s="2" customFormat="1" spans="1:24">
      <c r="A30" s="7" t="s">
        <v>40</v>
      </c>
      <c r="B30" s="7">
        <v>1.1</v>
      </c>
      <c r="C30" s="8" t="s">
        <v>26</v>
      </c>
      <c r="D30" s="9">
        <v>46085</v>
      </c>
      <c r="E30" s="9">
        <v>46142</v>
      </c>
      <c r="F30" s="7">
        <f>DATEDIF(D30,E30,"d")</f>
        <v>57</v>
      </c>
      <c r="G30" s="7">
        <v>9000</v>
      </c>
      <c r="H30" s="7">
        <v>3000</v>
      </c>
      <c r="I30" s="7">
        <v>26226</v>
      </c>
      <c r="J30" s="7">
        <v>218.55</v>
      </c>
      <c r="K30" s="7">
        <v>218.55</v>
      </c>
      <c r="L30" s="7">
        <v>4422</v>
      </c>
      <c r="M30" s="7">
        <v>15.83</v>
      </c>
      <c r="N30" s="7">
        <v>1.35</v>
      </c>
      <c r="O30" s="7">
        <v>13.8</v>
      </c>
      <c r="P30" s="7">
        <v>19</v>
      </c>
      <c r="Q30" s="7">
        <v>0.11</v>
      </c>
      <c r="R30" s="7">
        <v>162</v>
      </c>
      <c r="S30" s="7">
        <v>44</v>
      </c>
      <c r="T30" s="7">
        <v>162</v>
      </c>
      <c r="U30" s="7">
        <v>2.28</v>
      </c>
      <c r="V30" s="7">
        <v>1.82</v>
      </c>
      <c r="W30" s="7">
        <v>230</v>
      </c>
      <c r="X30" s="4"/>
    </row>
    <row r="31" s="2" customFormat="1" spans="1:24">
      <c r="A31" s="7"/>
      <c r="B31" s="7">
        <v>1.1</v>
      </c>
      <c r="C31" s="7" t="s">
        <v>27</v>
      </c>
      <c r="D31" s="9">
        <v>46085</v>
      </c>
      <c r="E31" s="9">
        <v>46142</v>
      </c>
      <c r="F31" s="7">
        <f>DATEDIF(D31,E31,"d")</f>
        <v>57</v>
      </c>
      <c r="G31" s="7">
        <v>9000</v>
      </c>
      <c r="H31" s="7">
        <v>3000</v>
      </c>
      <c r="I31" s="7">
        <v>12947</v>
      </c>
      <c r="J31" s="7">
        <v>107.89</v>
      </c>
      <c r="K31" s="2">
        <v>107.89</v>
      </c>
      <c r="L31" s="7">
        <v>3605</v>
      </c>
      <c r="M31" s="7">
        <v>17.85</v>
      </c>
      <c r="N31" s="7">
        <v>1.41</v>
      </c>
      <c r="O31" s="7">
        <v>6</v>
      </c>
      <c r="P31" s="7">
        <v>9.71</v>
      </c>
      <c r="Q31" s="7">
        <v>0.13</v>
      </c>
      <c r="R31" s="7">
        <v>185</v>
      </c>
      <c r="S31" s="7">
        <v>47</v>
      </c>
      <c r="T31" s="7">
        <v>70</v>
      </c>
      <c r="U31" s="7">
        <v>1.68</v>
      </c>
      <c r="V31" s="7">
        <v>1.5</v>
      </c>
      <c r="W31" s="7">
        <v>106</v>
      </c>
      <c r="X31" s="4"/>
    </row>
    <row r="33" s="2" customFormat="1" spans="1:24">
      <c r="A33" s="7" t="s">
        <v>41</v>
      </c>
      <c r="B33" s="7">
        <v>1.1</v>
      </c>
      <c r="C33" s="8" t="s">
        <v>26</v>
      </c>
      <c r="D33" s="9">
        <v>46085</v>
      </c>
      <c r="E33" s="9">
        <v>46142</v>
      </c>
      <c r="F33" s="7">
        <f>DATEDIF(D33,E33,"d")</f>
        <v>57</v>
      </c>
      <c r="G33" s="7">
        <v>7000</v>
      </c>
      <c r="H33" s="7">
        <v>3000</v>
      </c>
      <c r="I33" s="7">
        <v>551</v>
      </c>
      <c r="J33" s="7">
        <v>5.51</v>
      </c>
      <c r="K33" s="7">
        <v>5.51</v>
      </c>
      <c r="L33" s="7">
        <v>2149</v>
      </c>
      <c r="M33" s="7">
        <v>18.8</v>
      </c>
      <c r="N33" s="7">
        <v>0.14</v>
      </c>
      <c r="O33" s="7">
        <v>0.29</v>
      </c>
      <c r="P33" s="7">
        <v>1.06</v>
      </c>
      <c r="Q33" s="2">
        <v>0.28</v>
      </c>
      <c r="R33" s="7">
        <v>31</v>
      </c>
      <c r="S33" s="7">
        <v>48</v>
      </c>
      <c r="T33" s="7">
        <v>18</v>
      </c>
      <c r="U33" s="7">
        <v>1.21</v>
      </c>
      <c r="V33" s="7">
        <v>1.34</v>
      </c>
      <c r="W33" s="7">
        <v>719</v>
      </c>
      <c r="X33" s="4"/>
    </row>
    <row r="34" s="2" customFormat="1" spans="1:24">
      <c r="A34" s="7"/>
      <c r="B34" s="7">
        <v>1.1</v>
      </c>
      <c r="C34" s="7" t="s">
        <v>27</v>
      </c>
      <c r="D34" s="9">
        <v>46085</v>
      </c>
      <c r="E34" s="9">
        <v>46142</v>
      </c>
      <c r="F34" s="7">
        <f>DATEDIF(D34,E34,"d")</f>
        <v>57</v>
      </c>
      <c r="G34" s="7">
        <v>7000</v>
      </c>
      <c r="H34" s="7">
        <v>3000</v>
      </c>
      <c r="I34" s="7">
        <v>662</v>
      </c>
      <c r="J34" s="7">
        <v>6.62</v>
      </c>
      <c r="K34" s="2">
        <v>6.62</v>
      </c>
      <c r="L34" s="7">
        <v>2650</v>
      </c>
      <c r="M34" s="7">
        <v>22.02</v>
      </c>
      <c r="N34" s="7">
        <v>0.19</v>
      </c>
      <c r="O34" s="7">
        <v>0.3</v>
      </c>
      <c r="P34" s="7">
        <v>0.86</v>
      </c>
      <c r="Q34" s="7">
        <v>0.02</v>
      </c>
      <c r="R34" s="7">
        <v>53</v>
      </c>
      <c r="S34" s="7">
        <v>49</v>
      </c>
      <c r="T34" s="7">
        <v>13</v>
      </c>
      <c r="U34" s="7">
        <v>1.2</v>
      </c>
      <c r="V34" s="7">
        <v>1.15</v>
      </c>
      <c r="W34" s="7">
        <v>619</v>
      </c>
      <c r="X34" s="4"/>
    </row>
    <row r="36" s="2" customFormat="1" spans="1:24">
      <c r="A36" s="7" t="s">
        <v>42</v>
      </c>
      <c r="B36" s="7">
        <v>1.6</v>
      </c>
      <c r="C36" s="8" t="s">
        <v>26</v>
      </c>
      <c r="D36" s="9">
        <v>46085</v>
      </c>
      <c r="E36" s="9">
        <v>46142</v>
      </c>
      <c r="F36" s="7">
        <f>DATEDIF(D36,E36,"d")</f>
        <v>57</v>
      </c>
      <c r="G36" s="7">
        <v>16000</v>
      </c>
      <c r="H36" s="7">
        <v>9000</v>
      </c>
      <c r="I36" s="7">
        <v>21806</v>
      </c>
      <c r="J36" s="7">
        <v>87.22</v>
      </c>
      <c r="K36" s="7">
        <v>87.22</v>
      </c>
      <c r="L36" s="7">
        <v>10849</v>
      </c>
      <c r="M36" s="7">
        <v>30.51</v>
      </c>
      <c r="N36" s="7">
        <v>0.76</v>
      </c>
      <c r="O36" s="7">
        <v>2.86</v>
      </c>
      <c r="P36" s="7">
        <v>4.63</v>
      </c>
      <c r="Q36" s="7">
        <v>0.28</v>
      </c>
      <c r="R36" s="7">
        <v>154</v>
      </c>
      <c r="S36" s="7">
        <v>43</v>
      </c>
      <c r="T36" s="7">
        <v>142</v>
      </c>
      <c r="U36" s="7">
        <v>1.89</v>
      </c>
      <c r="V36" s="7">
        <v>1.42</v>
      </c>
      <c r="W36" s="7">
        <v>1605</v>
      </c>
      <c r="X36" s="4"/>
    </row>
    <row r="37" s="2" customFormat="1" spans="1:24">
      <c r="A37" s="7"/>
      <c r="B37" s="7">
        <v>1.6</v>
      </c>
      <c r="C37" s="7" t="s">
        <v>27</v>
      </c>
      <c r="D37" s="9">
        <v>46085</v>
      </c>
      <c r="E37" s="9">
        <v>46142</v>
      </c>
      <c r="F37" s="7">
        <f>DATEDIF(D37,E37,"d")</f>
        <v>57</v>
      </c>
      <c r="G37" s="7">
        <v>16000</v>
      </c>
      <c r="H37" s="7">
        <v>9000</v>
      </c>
      <c r="I37" s="7">
        <v>17215</v>
      </c>
      <c r="J37" s="7">
        <v>68.68</v>
      </c>
      <c r="K37" s="7">
        <v>68.68</v>
      </c>
      <c r="L37" s="7">
        <v>7897</v>
      </c>
      <c r="M37" s="7">
        <v>23.78</v>
      </c>
      <c r="N37" s="7">
        <v>0.91</v>
      </c>
      <c r="O37" s="7">
        <v>2.9</v>
      </c>
      <c r="P37" s="7">
        <v>5.11</v>
      </c>
      <c r="Q37" s="7">
        <v>0.21</v>
      </c>
      <c r="R37" s="7">
        <v>172</v>
      </c>
      <c r="S37" s="7">
        <v>48</v>
      </c>
      <c r="T37" s="7">
        <v>100</v>
      </c>
      <c r="U37" s="7">
        <v>1.53</v>
      </c>
      <c r="V37" s="7">
        <v>1.39</v>
      </c>
      <c r="W37" s="7">
        <v>310</v>
      </c>
      <c r="X37" s="4"/>
    </row>
  </sheetData>
  <mergeCells count="12">
    <mergeCell ref="A2:A3"/>
    <mergeCell ref="A5:A6"/>
    <mergeCell ref="A8:A9"/>
    <mergeCell ref="A11:A12"/>
    <mergeCell ref="A14:A15"/>
    <mergeCell ref="A17:A18"/>
    <mergeCell ref="A20:A21"/>
    <mergeCell ref="A24:A25"/>
    <mergeCell ref="A27:A28"/>
    <mergeCell ref="A30:A31"/>
    <mergeCell ref="A33:A34"/>
    <mergeCell ref="A36:A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20sK线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chuan</dc:creator>
  <cp:lastModifiedBy>杜川</cp:lastModifiedBy>
  <dcterms:created xsi:type="dcterms:W3CDTF">2026-05-01T02:07:51Z</dcterms:created>
  <dcterms:modified xsi:type="dcterms:W3CDTF">2026-05-10T14:09:32Z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EA6B2C5CE44740D4A4440CC6C8CFFF2A_13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